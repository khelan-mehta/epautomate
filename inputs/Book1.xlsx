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nondesign-my.sharepoint.com/personal/kmehta_cannondesign_com/Documents/Documents/"/>
    </mc:Choice>
  </mc:AlternateContent>
  <xr:revisionPtr revIDLastSave="1" documentId="8_{F1C69B39-B049-42F2-A3CE-F64963BA56FE}" xr6:coauthVersionLast="47" xr6:coauthVersionMax="47" xr10:uidLastSave="{4AD88C39-6FA9-4BF5-9741-F5EE7F5D7559}"/>
  <bookViews>
    <workbookView xWindow="33045" yWindow="3195" windowWidth="21600" windowHeight="10920" activeTab="1" xr2:uid="{88C7BE20-9963-4220-89E4-F8ACABCA9401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R1" i="2" l="1"/>
  <c r="DQ1" i="2"/>
  <c r="DP1" i="2"/>
  <c r="DO1" i="2"/>
  <c r="DN1" i="2"/>
  <c r="DM1" i="2"/>
  <c r="DL1" i="2"/>
  <c r="DK1" i="2"/>
  <c r="DJ1" i="2"/>
  <c r="DI1" i="2"/>
  <c r="DH1" i="2"/>
  <c r="DG1" i="2"/>
  <c r="DF1" i="2"/>
  <c r="DB1" i="2"/>
  <c r="DA1" i="2"/>
  <c r="CZ1" i="2"/>
  <c r="CY1" i="2"/>
  <c r="CX1" i="2"/>
  <c r="CW1" i="2"/>
  <c r="CV1" i="2"/>
  <c r="CU1" i="2"/>
  <c r="CT1" i="2"/>
  <c r="CG1" i="2"/>
  <c r="BW1" i="2"/>
  <c r="BV1" i="2"/>
  <c r="BU1" i="2"/>
  <c r="BT1" i="2"/>
  <c r="BS1" i="2"/>
  <c r="BR1" i="2"/>
  <c r="BQ1" i="2"/>
  <c r="BP1" i="2"/>
  <c r="BN1" i="2"/>
  <c r="BK1" i="2"/>
  <c r="BJ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B1" i="1"/>
  <c r="DA1" i="1"/>
  <c r="CZ1" i="1"/>
  <c r="CY1" i="1"/>
  <c r="CX1" i="1"/>
  <c r="CW1" i="1"/>
  <c r="CV1" i="1"/>
  <c r="CU1" i="1"/>
  <c r="CT1" i="1"/>
  <c r="CG1" i="1"/>
  <c r="BW1" i="1"/>
  <c r="BV1" i="1"/>
  <c r="BU1" i="1"/>
  <c r="BT1" i="1"/>
  <c r="BS1" i="1"/>
  <c r="BR1" i="1"/>
  <c r="BQ1" i="1"/>
  <c r="BP1" i="1"/>
  <c r="BN1" i="1"/>
  <c r="BK1" i="1"/>
  <c r="BJ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<sst xmlns="http://schemas.openxmlformats.org/spreadsheetml/2006/main" count="164" uniqueCount="86">
  <si>
    <t>Option</t>
  </si>
  <si>
    <t>Results Path</t>
  </si>
  <si>
    <t>Timestamp</t>
  </si>
  <si>
    <t>Climate File</t>
  </si>
  <si>
    <t>Climate Zone</t>
  </si>
  <si>
    <t>Heating Unmet Hours</t>
  </si>
  <si>
    <t>Cooling Unmet Hours</t>
  </si>
  <si>
    <t>Total Energy Cost ($)</t>
  </si>
  <si>
    <t>Peak Heating Hour</t>
  </si>
  <si>
    <t>Peak Cooling Hour</t>
  </si>
  <si>
    <t>Peak Electrical Load (W)</t>
  </si>
  <si>
    <t>Peak Electricity Hour</t>
  </si>
  <si>
    <t>North WWR Nominal (%)</t>
  </si>
  <si>
    <t>East WWR Nominal (%)</t>
  </si>
  <si>
    <t>South WWR Nominal (%)</t>
  </si>
  <si>
    <t>West WWR Nominal (%)</t>
  </si>
  <si>
    <t>Building WWR Actual (%)</t>
  </si>
  <si>
    <t>North WWR Actual (%)</t>
  </si>
  <si>
    <t>East WWR Actual (%)</t>
  </si>
  <si>
    <t>South WWR Actual (%)</t>
  </si>
  <si>
    <t>West WWR Actual (%)</t>
  </si>
  <si>
    <t>Skylight Roof Ratio (%)</t>
  </si>
  <si>
    <t>Exterior Wall to Floor Area Ratio</t>
  </si>
  <si>
    <t>Exterior Roof to Floor Area Ratio</t>
  </si>
  <si>
    <t>Exterior Envelope to Floor Area Ratio</t>
  </si>
  <si>
    <t>North Shading Type</t>
  </si>
  <si>
    <t>North Shading Ratio (%)</t>
  </si>
  <si>
    <t>West Shading Type</t>
  </si>
  <si>
    <t>West Shading Ratio (%)</t>
  </si>
  <si>
    <t>South Shading Type</t>
  </si>
  <si>
    <t>South Shading Ratio (%)</t>
  </si>
  <si>
    <t>East Shading Type</t>
  </si>
  <si>
    <t>East Shading Ratio (%)</t>
  </si>
  <si>
    <t>Glass SHGC</t>
  </si>
  <si>
    <t>Glass VLT</t>
  </si>
  <si>
    <t>Glass LSG</t>
  </si>
  <si>
    <t>Chiller Efficiency (COP)</t>
  </si>
  <si>
    <t>Boiler Efficiency (COP)</t>
  </si>
  <si>
    <t>DX Cooling Efficiency (COP)</t>
  </si>
  <si>
    <t>DX Heating Efficiency (HSPF)</t>
  </si>
  <si>
    <t>Heat Pump Cooling Efficiency (COP)</t>
  </si>
  <si>
    <t>Heat Pump Heating Efficiency (COP)</t>
  </si>
  <si>
    <t>Total Fan Power (kW)</t>
  </si>
  <si>
    <t>Total Pump Power (kW)</t>
  </si>
  <si>
    <t>Service Hot Water Thermal Efficiency (COP)</t>
  </si>
  <si>
    <t>Exterior Lighting (kW)</t>
  </si>
  <si>
    <t>LEED Baseline</t>
  </si>
  <si>
    <t>MSU Energy Model_LEED_0 - Baseline Design.SIM</t>
  </si>
  <si>
    <t>5/06/2026 21:42:44</t>
  </si>
  <si>
    <t>Baltimore    MD TMY2</t>
  </si>
  <si>
    <t>4A</t>
  </si>
  <si>
    <t>JAN 15 08:00</t>
  </si>
  <si>
    <t>JUL 24 13:00</t>
  </si>
  <si>
    <t>3</t>
  </si>
  <si>
    <t>LEED Baseline 90°</t>
  </si>
  <si>
    <t>MSU Energy Model_LEED_90 - Baseline Design.SIM</t>
  </si>
  <si>
    <t>5/06/2026 22:41:19</t>
  </si>
  <si>
    <t>9</t>
  </si>
  <si>
    <t>LEED Baseline 180°</t>
  </si>
  <si>
    <t>MSU Energy Model_LEED_180 - Baseline Design.SIM</t>
  </si>
  <si>
    <t>5/06/2026 22:49:58</t>
  </si>
  <si>
    <t>2/26</t>
  </si>
  <si>
    <t>LEED Baseline 270°</t>
  </si>
  <si>
    <t>MSU Energy Model_LEED_270 - Baseline Design.SIM</t>
  </si>
  <si>
    <t>5/06/2026 22:55:46</t>
  </si>
  <si>
    <t>Compliance Baseline</t>
  </si>
  <si>
    <t>MSU Energy Model_Compliance_0 - Baseline Design.SIM</t>
  </si>
  <si>
    <t>5/06/2026 14:56:30</t>
  </si>
  <si>
    <t>JUL 24 10:00</t>
  </si>
  <si>
    <t>10/19</t>
  </si>
  <si>
    <t>Compliance 90°</t>
  </si>
  <si>
    <t>MSU Energy Model_Compliance_90 - Baseline Design.SIM</t>
  </si>
  <si>
    <t>5/06/2026 13:25:42</t>
  </si>
  <si>
    <t>7/15</t>
  </si>
  <si>
    <t>Compliance 180°</t>
  </si>
  <si>
    <t>MSU Energy Model_Compliance_180 - Baseline Design.SIM</t>
  </si>
  <si>
    <t>5/06/2026 13:30:28</t>
  </si>
  <si>
    <t>5</t>
  </si>
  <si>
    <t>Compliance 270°</t>
  </si>
  <si>
    <t>MSU Energy Model_Compliance_270 - Baseline Design.SIM</t>
  </si>
  <si>
    <t>5/06/2026 13:34:11</t>
  </si>
  <si>
    <t>Proposed Design</t>
  </si>
  <si>
    <t>MSU Energy Model_Proposed - Baseline Design.SIM</t>
  </si>
  <si>
    <t>5/06/2026 21:15:46</t>
  </si>
  <si>
    <t>JAN 20 08:00</t>
  </si>
  <si>
    <t>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</si>
</sst>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&quot;$&quot;#,##0.00"/>
    <numFmt numFmtId="167" formatCode="_(* #,##0.0_);_(* \(#,##0.0\);_(* &quot;-&quot;??_);_(@_)"/>
    <numFmt numFmtId="168" formatCode="_(* #,##0.000_);_(* \(#,##0.000\);_(* &quot;-&quot;??_);_(@_)"/>
    <numFmt numFmtId="169" formatCode="d\-mmm\-h:m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Franklin Gothic Book"/>
      <family val="2"/>
    </font>
    <font>
      <sz val="11"/>
      <color theme="1"/>
      <name val="Franklin Gothic Book"/>
      <family val="2"/>
    </font>
    <font>
      <sz val="10"/>
      <color theme="1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164" fontId="4" fillId="0" borderId="0" xfId="1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1" applyNumberFormat="1" applyFont="1"/>
    <xf numFmtId="168" fontId="4" fillId="0" borderId="0" xfId="1" applyNumberFormat="1" applyFont="1"/>
    <xf numFmtId="169" fontId="4" fillId="0" borderId="0" xfId="0" applyNumberFormat="1" applyFont="1"/>
    <xf numFmtId="3" fontId="4" fillId="0" borderId="0" xfId="1" applyNumberFormat="1" applyFont="1"/>
    <xf numFmtId="2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nondesign.sharepoint.com/sites/T_mumbaioffice/Shared%20Documents/General/Project-homedrive/Mumbai%20Sustainability/3_MSU/3_Equest%20Excel%20Workflow/MSU_Energy%20Results%20Comparison_v3.xlsx" TargetMode="External"/><Relationship Id="rId1" Type="http://schemas.openxmlformats.org/officeDocument/2006/relationships/externalLinkPath" Target="https://cannondesign.sharepoint.com/sites/T_mumbaioffice/Shared%20Documents/General/Project-homedrive/Mumbai%20Sustainability/3_MSU/3_Equest%20Excel%20Workflow/MSU_Energy%20Results%20Comparison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Project Info"/>
      <sheetName val="BL Data"/>
      <sheetName val="Proposed Data"/>
      <sheetName val="LEED BL"/>
      <sheetName val="Code BL"/>
      <sheetName val="Proposed"/>
      <sheetName val="SiteE"/>
      <sheetName val="SourceE"/>
      <sheetName val="Carbon"/>
      <sheetName val="Cost"/>
      <sheetName val="Report"/>
      <sheetName val="Input Summary"/>
      <sheetName val="QAQC"/>
      <sheetName val="Menus"/>
      <sheetName val="Calculations"/>
      <sheetName val="LEED Calc"/>
      <sheetName val="RefTable LEED"/>
      <sheetName val="RefTable BPF"/>
      <sheetName val="Conversions"/>
    </sheetNames>
    <sheetDataSet>
      <sheetData sheetId="0" refreshError="1"/>
      <sheetData sheetId="1">
        <row r="4">
          <cell r="I4" t="str">
            <v>IP</v>
          </cell>
        </row>
        <row r="7">
          <cell r="D7">
            <v>265425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2" t="str">
            <v>SI</v>
          </cell>
          <cell r="C2" t="str">
            <v>kWh</v>
          </cell>
        </row>
        <row r="6">
          <cell r="G6" t="str">
            <v>kg CO2e</v>
          </cell>
        </row>
        <row r="7">
          <cell r="G7" t="str">
            <v>kg CO2e</v>
          </cell>
        </row>
        <row r="10">
          <cell r="E10" t="str">
            <v>$/m²</v>
          </cell>
          <cell r="G10" t="str">
            <v>kg CO2e/m²</v>
          </cell>
        </row>
        <row r="11">
          <cell r="E11" t="str">
            <v>$/ft²</v>
          </cell>
          <cell r="G11" t="str">
            <v>kg CO2e/ft²</v>
          </cell>
        </row>
        <row r="14">
          <cell r="E14" t="str">
            <v>$/kWh</v>
          </cell>
          <cell r="G14" t="str">
            <v>kg CO2e/kWh</v>
          </cell>
        </row>
        <row r="15">
          <cell r="E15" t="str">
            <v>$/kBtu</v>
          </cell>
          <cell r="G15" t="str">
            <v>kg CO2e/kBtu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443-79EA-433E-8761-BFEA44ADEAB1}">
  <dimension ref="A1:EB9"/>
  <sheetViews>
    <sheetView workbookViewId="0">
      <selection sqref="A1:EB9"/>
    </sheetView>
  </sheetViews>
  <sheetFormatPr defaultRowHeight="15" x14ac:dyDescent="0.25"/>
  <sheetData>
    <row r="1" spans="1:132" ht="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tr">
        <f>_xlfn.CONCAT("Total Energy Use ",IF('[1]Project Info'!$I$4=[1]Menus!$A$2,"(kWh)","(kBtu)"))</f>
        <v>Total Energy Use (kBtu)</v>
      </c>
      <c r="I1" s="3" t="str">
        <f>_xlfn.CONCAT("Energy Use Intensity ",IF('[1]Project Info'!$I$4=[1]Menus!$A$2,"(kWh/m²)","(kBtu/ft²)"))</f>
        <v>Energy Use Intensity (kBtu/ft²)</v>
      </c>
      <c r="J1" s="3" t="str">
        <f>_xlfn.CONCAT("Electricity ",IF('[1]Project Info'!$I$4=[1]Menus!$A$2,"(kWh)","(kBtu)"))</f>
        <v>Electricity (kBtu)</v>
      </c>
      <c r="K1" s="3" t="str">
        <f>_xlfn.CONCAT("Gas ",IF('[1]Project Info'!$I$4=[1]Menus!$A$2,"(kWh)","(kBtu)"))</f>
        <v>Gas (kBtu)</v>
      </c>
      <c r="L1" s="3" t="str">
        <f>_xlfn.CONCAT("Additional Fuel ",IF('[1]Project Info'!$I$4=[1]Menus!$A$2,"(kWh)","(kBtu)"))</f>
        <v>Additional Fuel (kBtu)</v>
      </c>
      <c r="M1" s="3" t="str">
        <f>_xlfn.CONCAT("District Cooling ",IF('[1]Project Info'!$I$4=[1]Menus!$A$2,"(kWh)","(kBtu)"))</f>
        <v>District Cooling (kBtu)</v>
      </c>
      <c r="N1" s="3" t="str">
        <f>_xlfn.CONCAT("District Heating ",IF('[1]Project Info'!$I$4=[1]Menus!$A$2,"(kWh)","(kBtu)"))</f>
        <v>District Heating (kBtu)</v>
      </c>
      <c r="O1" s="4" t="str">
        <f>_xlfn.CONCAT("Heating - Electricity Energy Use ",IF('[1]Project Info'!$I$4=[1]Menus!$A$2,"(kWh)","(kBtu)"))</f>
        <v>Heating - Electricity Energy Use (kBtu)</v>
      </c>
      <c r="P1" s="4" t="str">
        <f>_xlfn.CONCAT("Heating - Gas Energy Use ",IF('[1]Project Info'!$I$4=[1]Menus!$A$2,"(kWh)","(kBtu)"))</f>
        <v>Heating - Gas Energy Use (kBtu)</v>
      </c>
      <c r="Q1" s="4" t="str">
        <f>_xlfn.CONCAT("Heating - Additonal Fuel Energy Use ",IF('[1]Project Info'!$I$4=[1]Menus!$A$2,"(kWh)","(kBtu)"))</f>
        <v>Heating - Additonal Fuel Energy Use (kBtu)</v>
      </c>
      <c r="R1" s="4" t="str">
        <f>_xlfn.CONCAT("Heating - District Heating Energy Use ",IF('[1]Project Info'!$I$4=[1]Menus!$A$2,"(kWh)","(kBtu)"))</f>
        <v>Heating - District Heating Energy Use (kBtu)</v>
      </c>
      <c r="S1" s="4" t="str">
        <f>_xlfn.CONCAT("Cooling - Electricity Energy Use ",IF('[1]Project Info'!$I$4=[1]Menus!$A$2,"(kWh)","(kBtu)"))</f>
        <v>Cooling - Electricity Energy Use (kBtu)</v>
      </c>
      <c r="T1" s="4" t="str">
        <f>_xlfn.CONCAT("Cooling - District Energy Use ",IF('[1]Project Info'!$I$4=[1]Menus!$A$2,"(kWh)","(kBtu)"))</f>
        <v>Cooling - District Energy Use (kBtu)</v>
      </c>
      <c r="U1" s="4" t="str">
        <f>_xlfn.CONCAT("Interior Lighting - Electricity Energy Use ",IF('[1]Project Info'!$I$4=[1]Menus!$A$2,"(kWh)","(kBtu)"))</f>
        <v>Interior Lighting - Electricity Energy Use (kBtu)</v>
      </c>
      <c r="V1" s="4" t="str">
        <f>_xlfn.CONCAT("Exterior Lighting - Electricity Energy Use ",IF('[1]Project Info'!$I$4=[1]Menus!$A$2,"(kWh)","(kBtu)"))</f>
        <v>Exterior Lighting - Electricity Energy Use (kBtu)</v>
      </c>
      <c r="W1" s="4" t="str">
        <f>_xlfn.CONCAT("Interior Equipment - Electricity Energy Use ",IF('[1]Project Info'!$I$4=[1]Menus!$A$2,"(kWh)","(kBtu)"))</f>
        <v>Interior Equipment - Electricity Energy Use (kBtu)</v>
      </c>
      <c r="X1" s="4" t="str">
        <f>_xlfn.CONCAT("Interior Equipment - Gas Energy Use ",IF('[1]Project Info'!$I$4=[1]Menus!$A$2,"(kWh)","(kBtu)"))</f>
        <v>Interior Equipment - Gas Energy Use (kBtu)</v>
      </c>
      <c r="Y1" s="4" t="str">
        <f>_xlfn.CONCAT("Interior Equipment - Additional Fuel Energy Use ",IF('[1]Project Info'!$I$4=[1]Menus!$A$2,"(kWh)","(kBtu)"))</f>
        <v>Interior Equipment - Additional Fuel Energy Use (kBtu)</v>
      </c>
      <c r="Z1" s="4" t="str">
        <f>_xlfn.CONCAT("Exterior Equipment - Energy Use ",IF('[1]Project Info'!$I$4=[1]Menus!$A$2,"(kWh)","(kBtu)"))</f>
        <v>Exterior Equipment - Energy Use (kBtu)</v>
      </c>
      <c r="AA1" s="4" t="str">
        <f>_xlfn.CONCAT("Fans - Electricity Energy Use ",IF('[1]Project Info'!$I$4=[1]Menus!$A$2,"(kWh)","(kBtu)"))</f>
        <v>Fans - Electricity Energy Use (kBtu)</v>
      </c>
      <c r="AB1" s="4" t="str">
        <f>_xlfn.CONCAT("Pumps - Electricity Energy Use ",IF('[1]Project Info'!$I$4=[1]Menus!$A$2,"(kWh)","(kBtu)"))</f>
        <v>Pumps - Electricity Energy Use (kBtu)</v>
      </c>
      <c r="AC1" s="4" t="str">
        <f>_xlfn.CONCAT("Heat Rejection - Electricity Energy Use ",IF('[1]Project Info'!$I$4=[1]Menus!$A$2,"(kWh)","(kBtu)"))</f>
        <v>Heat Rejection - Electricity Energy Use (kBtu)</v>
      </c>
      <c r="AD1" s="4" t="str">
        <f>_xlfn.CONCAT("Humidification - Electricity Energy Use ",IF('[1]Project Info'!$I$4=[1]Menus!$A$2,"(kWh)","(kBtu)"))</f>
        <v>Humidification - Electricity Energy Use (kBtu)</v>
      </c>
      <c r="AE1" s="4" t="str">
        <f>_xlfn.CONCAT("Heat Recovery - Electricity Energy Use ",IF('[1]Project Info'!$I$4=[1]Menus!$A$2,"(kWh)","(kBtu)"))</f>
        <v>Heat Recovery - Electricity Energy Use (kBtu)</v>
      </c>
      <c r="AF1" s="4" t="str">
        <f>_xlfn.CONCAT("Water Systems - Electricity Energy Use ",IF('[1]Project Info'!$I$4=[1]Menus!$A$2,"(kWh)","(kBtu)"))</f>
        <v>Water Systems - Electricity Energy Use (kBtu)</v>
      </c>
      <c r="AG1" s="4" t="str">
        <f>_xlfn.CONCAT("Water Systems - Gas Energy Use ",IF('[1]Project Info'!$I$4=[1]Menus!$A$2,"(kWh)","(kBtu)"))</f>
        <v>Water Systems - Gas Energy Use (kBtu)</v>
      </c>
      <c r="AH1" s="4" t="str">
        <f>_xlfn.CONCAT("Water Systems - Additional Fuel Energy Use ",IF('[1]Project Info'!$I$4=[1]Menus!$A$2,"(kWh)","(kBtu)"))</f>
        <v>Water Systems - Additional Fuel Energy Use (kBtu)</v>
      </c>
      <c r="AI1" s="4" t="str">
        <f>_xlfn.CONCAT("Water Systems - District Heating Energy Use ",IF('[1]Project Info'!$I$4=[1]Menus!$A$2,"(kWh)","(kBtu)"))</f>
        <v>Water Systems - District Heating Energy Use (kBtu)</v>
      </c>
      <c r="AJ1" s="4" t="str">
        <f>_xlfn.CONCAT("Refrigeration - Electricity Energy Use ",IF('[1]Project Info'!$I$4=[1]Menus!$A$2,"(kWh)","(kBtu)"))</f>
        <v>Refrigeration - Electricity Energy Use (kBtu)</v>
      </c>
      <c r="AK1" s="4" t="str">
        <f>_xlfn.CONCAT("Generators  Electricity Energy Use ",IF('[1]Project Info'!$I$4=[1]Menus!$A$2,"(kWh)","(kBtu)"))</f>
        <v>Generators  Electricity Energy Use (kBtu)</v>
      </c>
      <c r="AL1" s="4" t="str">
        <f>_xlfn.CONCAT("Misc 1 -  Electricity Energy Use ",IF('[1]Project Info'!$I$4=[1]Menus!$A$2,"(kWh)","(kBtu)"))</f>
        <v>Misc 1 -  Electricity Energy Use (kBtu)</v>
      </c>
      <c r="AM1" s="4" t="str">
        <f>_xlfn.CONCAT("Misc 2 -  Electricity Energy Use ",IF('[1]Project Info'!$I$4=[1]Menus!$A$2,"(kWh)","(kBtu)"))</f>
        <v>Misc 2 -  Electricity Energy Use (kBtu)</v>
      </c>
      <c r="AN1" s="2" t="str">
        <f>_xlfn.CONCAT("Total Water Use ",IF('[1]Project Info'!$I$4=[1]Menus!$A$2,"(m3)","(kGal)"))</f>
        <v>Total Water Use (kGal)</v>
      </c>
      <c r="AO1" s="2" t="str">
        <f>_xlfn.CONCAT("Water Use Intensity ",IF('[1]Project Info'!$I$4=[1]Menus!$A$2,"(m³/m²)","(kGal/ft²)"))</f>
        <v>Water Use Intensity (kGal/ft²)</v>
      </c>
      <c r="AP1" s="2" t="str">
        <f>_xlfn.CONCAT("Heat Rejection - Water Use ",IF('[1]Project Info'!$I$4=[1]Menus!$A$2,"(m3)","(kGal)"))</f>
        <v>Heat Rejection - Water Use (kGal)</v>
      </c>
      <c r="AQ1" s="2" t="str">
        <f>_xlfn.CONCAT("Humidificatopn - Water Use ",IF('[1]Project Info'!$I$4=[1]Menus!$A$2,"(m3)","(kGal)"))</f>
        <v>Humidificatopn - Water Use (kGal)</v>
      </c>
      <c r="AR1" s="2" t="str">
        <f>_xlfn.CONCAT("Water System - Water Use ",IF('[1]Project Info'!$I$4=[1]Menus!$A$2,"(m3)","(kGal)"))</f>
        <v>Water System - Water Use (kGal)</v>
      </c>
      <c r="AS1" s="5" t="s">
        <v>7</v>
      </c>
      <c r="AT1" s="5" t="str">
        <f>_xlfn.CONCAT("Energy Cost Intensity (",IF('[1]Project Info'!$I$4=[1]Menus!$A$2,[1]Menus!$E$10,[1]Menus!$E$11),")")</f>
        <v>Energy Cost Intensity ($/ft²)</v>
      </c>
      <c r="AU1" s="5" t="str">
        <f>_xlfn.CONCAT("Electricity Virtual Rate (",IF('[1]Project Info'!$I$4=[1]Menus!$A$2,[1]Menus!$E$14,[1]Menus!$E$15),")")</f>
        <v>Electricity Virtual Rate ($/kBtu)</v>
      </c>
      <c r="AV1" s="5" t="str">
        <f>_xlfn.CONCAT("Gas Virtual Rate (",IF('[1]Project Info'!$I$4=[1]Menus!$A$2,[1]Menus!$E$14,[1]Menus!$E$15),")")</f>
        <v>Gas Virtual Rate ($/kBtu)</v>
      </c>
      <c r="AW1" s="5" t="str">
        <f>_xlfn.CONCAT("Additional Fuel Virtual Rate (",IF('[1]Project Info'!$I$4=[1]Menus!$A$2,[1]Menus!$E$14,[1]Menus!$E$15),")")</f>
        <v>Additional Fuel Virtual Rate ($/kBtu)</v>
      </c>
      <c r="AX1" s="5" t="str">
        <f>_xlfn.CONCAT("District Cooling Virtual Rate (",IF('[1]Project Info'!$I$4=[1]Menus!$A$2,[1]Menus!$E$14,[1]Menus!$E$15),")")</f>
        <v>District Cooling Virtual Rate ($/kBtu)</v>
      </c>
      <c r="AY1" s="5" t="str">
        <f>_xlfn.CONCAT("District Heating Virtual Rate (",IF('[1]Project Info'!$I$4=[1]Menus!$A$2,[1]Menus!$E$14,[1]Menus!$E$15),")")</f>
        <v>District Heating Virtual Rate ($/kBtu)</v>
      </c>
      <c r="AZ1" s="6" t="str">
        <f>_xlfn.CONCAT("Total Carbon Emissions (",IF('[1]Project Info'!$I$4=[1]Menus!$A$2,[1]Menus!$G$6,[1]Menus!$G$7),")")</f>
        <v>Total Carbon Emissions (kg CO2e)</v>
      </c>
      <c r="BA1" s="6" t="str">
        <f>_xlfn.CONCAT("Carbon Emission Intensity (",IF('[1]Project Info'!$I$4=[1]Menus!$A$2,[1]Menus!$G$10,[1]Menus!$G$11),")")</f>
        <v>Carbon Emission Intensity (kg CO2e/ft²)</v>
      </c>
      <c r="BB1" s="6" t="str">
        <f>_xlfn.CONCAT("Electricity Virtual Rate (",IF('[1]Project Info'!$I$4=[1]Menus!$A$2,[1]Menus!$G$14,[1]Menus!$G$15),")")</f>
        <v>Electricity Virtual Rate (kg CO2e/kBtu)</v>
      </c>
      <c r="BC1" s="6" t="str">
        <f>_xlfn.CONCAT("Gas Virtual Rate (",IF('[1]Project Info'!$I$4=[1]Menus!$A$2,[1]Menus!$G$14,[1]Menus!$G$15),")")</f>
        <v>Gas Virtual Rate (kg CO2e/kBtu)</v>
      </c>
      <c r="BD1" s="6" t="str">
        <f>_xlfn.CONCAT("Additional Fuel Virtual Rate (",IF('[1]Project Info'!$I$4=[1]Menus!$A$2,[1]Menus!$G$14,[1]Menus!$G$15),")")</f>
        <v>Additional Fuel Virtual Rate (kg CO2e/kBtu)</v>
      </c>
      <c r="BE1" s="6" t="str">
        <f>_xlfn.CONCAT("District Cooling Virtual Rate (",IF('[1]Project Info'!$I$4=[1]Menus!$A$2,[1]Menus!$G$14,[1]Menus!$G$15),")")</f>
        <v>District Cooling Virtual Rate (kg CO2e/kBtu)</v>
      </c>
      <c r="BF1" s="6" t="str">
        <f>_xlfn.CONCAT("District Heating Virtual Rate (",IF('[1]Project Info'!$I$4=[1]Menus!$A$2,[1]Menus!$G$14,[1]Menus!$G$15),")")</f>
        <v>District Heating Virtual Rate (kg CO2e/kBtu)</v>
      </c>
      <c r="BG1" s="7" t="str">
        <f>_xlfn.CONCAT("Peak Heating ",IF('[1]Project Info'!$I$4=[1]Menus!$A$2,"(kW)","(kBtuh)"))</f>
        <v>Peak Heating (kBtuh)</v>
      </c>
      <c r="BH1" s="7" t="str">
        <f>_xlfn.CONCAT("Peak Heating ",IF('[1]Project Info'!$I$4=[1]Menus!$A$2,"(W/m²)","(Btuh/ft²)"))</f>
        <v>Peak Heating (Btuh/ft²)</v>
      </c>
      <c r="BI1" s="7" t="s">
        <v>8</v>
      </c>
      <c r="BJ1" s="8" t="str">
        <f>_xlfn.CONCAT("Peak Cooling ",IF('[1]Project Info'!$I$4=[1]Menus!$A$2,"(kW)","(kBtuh)"))</f>
        <v>Peak Cooling (kBtuh)</v>
      </c>
      <c r="BK1" s="8" t="str">
        <f>_xlfn.CONCAT("Peak Cooling ",IF('[1]Project Info'!$I$4=[1]Menus!$A$2,"(W/m²)","(Btuh/ft²)"))</f>
        <v>Peak Cooling (Btuh/ft²)</v>
      </c>
      <c r="BL1" s="8" t="s">
        <v>9</v>
      </c>
      <c r="BM1" s="9" t="s">
        <v>10</v>
      </c>
      <c r="BN1" s="9" t="str">
        <f>_xlfn.CONCAT("Peak Electrical Load Intensity ",IF('[1]Project Info'!$I$4=[1]Menus!$A$2,"(W/m²)","(W/ft²)"))</f>
        <v>Peak Electrical Load Intensity (W/ft²)</v>
      </c>
      <c r="BO1" s="9" t="s">
        <v>11</v>
      </c>
      <c r="BP1" s="1" t="str">
        <f>_xlfn.CONCAT("Conditioned Floor Area ",IF('[1]Project Info'!$I$4=[1]Menus!$A$2,"(m²)","(ft²)"))</f>
        <v>Conditioned Floor Area (ft²)</v>
      </c>
      <c r="BQ1" s="1" t="str">
        <f>_xlfn.CONCAT("Total Floor Area ",IF('[1]Project Info'!$I$4=[1]Menus!$A$2,"(m²)","(ft²)"))</f>
        <v>Total Floor Area (ft²)</v>
      </c>
      <c r="BR1" s="1" t="str">
        <f>_xlfn.CONCAT("Gross Wall Area ",IF('[1]Project Info'!$I$4=[1]Menus!$A$2,"(m²)","(ft²)"))</f>
        <v>Gross Wall Area (ft²)</v>
      </c>
      <c r="BS1" s="1" t="str">
        <f>_xlfn.CONCAT("Above Ground Gross Wall Area ",IF('[1]Project Info'!$I$4=[1]Menus!$A$2,"(m²)","(ft²)"))</f>
        <v>Above Ground Gross Wall Area (ft²)</v>
      </c>
      <c r="BT1" s="1" t="str">
        <f>_xlfn.CONCAT("Above Ground North Wall Area ",IF('[1]Project Info'!$I$4=[1]Menus!$A$2,"(m²)","(ft²)"))</f>
        <v>Above Ground North Wall Area (ft²)</v>
      </c>
      <c r="BU1" s="1" t="str">
        <f>_xlfn.CONCAT("Above Ground East Wall Area ",IF('[1]Project Info'!$I$4=[1]Menus!$A$2,"(m²)","(ft²)"))</f>
        <v>Above Ground East Wall Area (ft²)</v>
      </c>
      <c r="BV1" s="1" t="str">
        <f>_xlfn.CONCAT("Above Ground South Wall Area ",IF('[1]Project Info'!$I$4=[1]Menus!$A$2,"(m²)","(ft²)"))</f>
        <v>Above Ground South Wall Area (ft²)</v>
      </c>
      <c r="BW1" s="1" t="str">
        <f>_xlfn.CONCAT("Above Ground East Wall Area ",IF('[1]Project Info'!$I$4=[1]Menus!$A$2,"(m²)","(ft²)"))</f>
        <v>Above Ground East Wall Area (ft²)</v>
      </c>
      <c r="BX1" s="10" t="s">
        <v>12</v>
      </c>
      <c r="BY1" s="10" t="s">
        <v>13</v>
      </c>
      <c r="BZ1" s="10" t="s">
        <v>14</v>
      </c>
      <c r="CA1" s="10" t="s">
        <v>15</v>
      </c>
      <c r="CB1" s="10" t="s">
        <v>16</v>
      </c>
      <c r="CC1" s="10" t="s">
        <v>17</v>
      </c>
      <c r="CD1" s="10" t="s">
        <v>18</v>
      </c>
      <c r="CE1" s="10" t="s">
        <v>19</v>
      </c>
      <c r="CF1" s="10" t="s">
        <v>20</v>
      </c>
      <c r="CG1" s="1" t="str">
        <f>_xlfn.CONCAT("Gross Roof Area ",IF('[1]Project Info'!$I$4=[1]Menus!$A$2,"(m²)","(ft²)"))</f>
        <v>Gross Roof Area (ft²)</v>
      </c>
      <c r="CH1" s="10" t="s">
        <v>21</v>
      </c>
      <c r="CI1" s="1" t="s">
        <v>22</v>
      </c>
      <c r="CJ1" s="1" t="s">
        <v>23</v>
      </c>
      <c r="CK1" s="1" t="s">
        <v>24</v>
      </c>
      <c r="CL1" s="10" t="s">
        <v>25</v>
      </c>
      <c r="CM1" s="10" t="s">
        <v>26</v>
      </c>
      <c r="CN1" s="10" t="s">
        <v>27</v>
      </c>
      <c r="CO1" s="10" t="s">
        <v>28</v>
      </c>
      <c r="CP1" s="10" t="s">
        <v>29</v>
      </c>
      <c r="CQ1" s="10" t="s">
        <v>30</v>
      </c>
      <c r="CR1" s="10" t="s">
        <v>31</v>
      </c>
      <c r="CS1" s="10" t="s">
        <v>32</v>
      </c>
      <c r="CT1" s="10" t="str">
        <f>_xlfn.CONCAT("Vertical Weighted U-Value ",IF('[1]Project Info'!$D$7=[1]Menus!$C$2,"(W/m²·K)","(Btu/h·ft²·F)"))</f>
        <v>Vertical Weighted U-Value (Btu/h·ft²·F)</v>
      </c>
      <c r="CU1" s="10" t="str">
        <f>_xlfn.CONCAT("Vertical Weighted R-Value ",IF('[1]Project Info'!$D$7=[1]Menus!$C$2,"(m²·K/W)","(ft²·h·F/Btu )"))</f>
        <v>Vertical Weighted R-Value (ft²·h·F/Btu )</v>
      </c>
      <c r="CV1" s="10" t="str">
        <f>_xlfn.CONCAT("Wall U-Value ",IF('[1]Project Info'!$D$7=[1]Menus!$C$2,"(W/m²·K)","(Btu/h·ft²·F)"))</f>
        <v>Wall U-Value (Btu/h·ft²·F)</v>
      </c>
      <c r="CW1" s="10" t="str">
        <f>_xlfn.CONCAT("Wall 2 U-Value ",IF('[1]Project Info'!$D$7=[1]Menus!$C$2,"(W/m²·K)","(Btu/h·ft²·F)"))</f>
        <v>Wall 2 U-Value (Btu/h·ft²·F)</v>
      </c>
      <c r="CX1" s="10" t="str">
        <f>_xlfn.CONCAT("Roof U-Value ",IF('[1]Project Info'!$D$7=[1]Menus!$C$2,"(W/m²·K)","(Btu/h·ft²·F)"))</f>
        <v>Roof U-Value (Btu/h·ft²·F)</v>
      </c>
      <c r="CY1" s="10" t="str">
        <f>_xlfn.CONCAT("Exposed Floor U-Value ",IF('[1]Project Info'!$D$7=[1]Menus!$C$2,"(W/m²·K)","(Btu/h·ft²·F)"))</f>
        <v>Exposed Floor U-Value (Btu/h·ft²·F)</v>
      </c>
      <c r="CZ1" s="10" t="str">
        <f>_xlfn.CONCAT("Slab on Grade U-Value ",IF('[1]Project Info'!$D$7=[1]Menus!$C$2,"(W/m²·K)","(Btu/h·ft²·F)"))</f>
        <v>Slab on Grade U-Value (Btu/h·ft²·F)</v>
      </c>
      <c r="DA1" s="10" t="str">
        <f>_xlfn.CONCAT("Assembly U-Value ",IF('[1]Project Info'!$D$7=[1]Menus!$C$2,"(W/m²·K)","(Btu/h·ft²·F)"))</f>
        <v>Assembly U-Value (Btu/h·ft²·F)</v>
      </c>
      <c r="DB1" s="10" t="str">
        <f>_xlfn.CONCAT("Glass U-Value ",IF('[1]Project Info'!$D$7=[1]Menus!$C$2,"(W/m²·K)","(Btu/h·ft²·F)"))</f>
        <v>Glass U-Value (Btu/h·ft²·F)</v>
      </c>
      <c r="DC1" s="10" t="s">
        <v>33</v>
      </c>
      <c r="DD1" s="10" t="s">
        <v>34</v>
      </c>
      <c r="DE1" s="10" t="s">
        <v>35</v>
      </c>
      <c r="DF1" s="10" t="str">
        <f>_xlfn.CONCAT("Infiltration Rate ",IF('[1]Project Info'!$D$7=[1]Menus!$C$2,"(m³/s/m² façade)","(CFM/ft² facade)"))</f>
        <v>Infiltration Rate (CFM/ft² facade)</v>
      </c>
      <c r="DG1" s="10" t="str">
        <f>_xlfn.CONCAT("Lighting Power Density ",IF('[1]Project Info'!$D$7=[1]Menus!$C$2,"(W/m²)","(W/ft²)"))</f>
        <v>Lighting Power Density (W/ft²)</v>
      </c>
      <c r="DH1" s="10" t="str">
        <f>_xlfn.CONCAT("Conditioned Lighting Power Density ",IF('[1]Project Info'!$D$7=[1]Menus!$C$2,"(W/m²)","(W/ft²)"))</f>
        <v>Conditioned Lighting Power Density (W/ft²)</v>
      </c>
      <c r="DI1" s="10" t="str">
        <f>_xlfn.CONCAT("Occupant Density ",IF('[1]Project Info'!$D$7=[1]Menus!$C$2,"(m/person²)","(ft²/person)"))</f>
        <v>Occupant Density (ft²/person)</v>
      </c>
      <c r="DJ1" s="10" t="str">
        <f>_xlfn.CONCAT("Conditioned Occupant Density ",IF('[1]Project Info'!$D$7=[1]Menus!$C$2,"(m/person²)","(ft²/person)"))</f>
        <v>Conditioned Occupant Density (ft²/person)</v>
      </c>
      <c r="DK1" s="10" t="str">
        <f>_xlfn.CONCAT("Equipment Power Density ",IF('[1]Project Info'!$D$7=[1]Menus!$C$2,"(W/m²)","(W/ft²)"))</f>
        <v>Equipment Power Density (W/ft²)</v>
      </c>
      <c r="DL1" s="10" t="str">
        <f>_xlfn.CONCAT("Conditioned Equipment Power Density ",IF('[1]Project Info'!$D$7=[1]Menus!$C$2,"(W/m²)","(W/ft²)"))</f>
        <v>Conditioned Equipment Power Density (W/ft²)</v>
      </c>
      <c r="DM1" s="10" t="str">
        <f>_xlfn.CONCAT("Total Ventilation Air Flow Rate ",IF('[1]Project Info'!$D$7=[1]Menus!$C$2,"(m²/s)","(CFM)"))</f>
        <v>Total Ventilation Air Flow Rate (CFM)</v>
      </c>
      <c r="DN1" s="10" t="str">
        <f>_xlfn.CONCAT("Ventilation Air Flow Rate per Area ",IF('[1]Project Info'!$D$7=[1]Menus!$C$2,"(m3/s/m²)","(CFM/ft²)"))</f>
        <v>Ventilation Air Flow Rate per Area (CFM/ft²)</v>
      </c>
      <c r="DO1" s="10" t="str">
        <f>_xlfn.CONCAT("Total Heating Airflow Rate ",IF('[1]Project Info'!$D$7=[1]Menus!$C$2,"(m²/s)","(CFM)"))</f>
        <v>Total Heating Airflow Rate (CFM)</v>
      </c>
      <c r="DP1" s="10" t="str">
        <f>_xlfn.CONCAT("Heating Airflow Rate per Area ",IF('[1]Project Info'!$D$7=[1]Menus!$C$2,"(m3/s/m²)","(CFM/ft²)"))</f>
        <v>Heating Airflow Rate per Area (CFM/ft²)</v>
      </c>
      <c r="DQ1" s="10" t="str">
        <f>_xlfn.CONCAT("Total Cooling Airflow Rate ",IF('[1]Project Info'!$D$7=[1]Menus!$C$2,"(m²/s)","(CFM)"))</f>
        <v>Total Cooling Airflow Rate (CFM)</v>
      </c>
      <c r="DR1" s="10" t="str">
        <f>_xlfn.CONCAT("Cooling Airflow Rate per Area ",IF('[1]Project Info'!$D$7=[1]Menus!$C$2,"(m3/s/m²)","(CFM/ft²)"))</f>
        <v>Cooling Airflow Rate per Area (CFM/ft²)</v>
      </c>
      <c r="DS1" s="10" t="s">
        <v>36</v>
      </c>
      <c r="DT1" s="10" t="s">
        <v>37</v>
      </c>
      <c r="DU1" s="10" t="s">
        <v>38</v>
      </c>
      <c r="DV1" s="10" t="s">
        <v>39</v>
      </c>
      <c r="DW1" s="10" t="s">
        <v>40</v>
      </c>
      <c r="DX1" s="10" t="s">
        <v>41</v>
      </c>
      <c r="DY1" s="10" t="s">
        <v>42</v>
      </c>
      <c r="DZ1" s="10" t="s">
        <v>43</v>
      </c>
      <c r="EA1" s="10" t="s">
        <v>44</v>
      </c>
      <c r="EB1" s="10" t="s">
        <v>45</v>
      </c>
    </row>
    <row r="2" spans="1:132" ht="15.75" x14ac:dyDescent="0.3">
      <c r="A2" s="11" t="s">
        <v>46</v>
      </c>
      <c r="B2" s="11" t="s">
        <v>47</v>
      </c>
      <c r="C2" s="11" t="s">
        <v>48</v>
      </c>
      <c r="D2" s="11" t="s">
        <v>49</v>
      </c>
      <c r="E2" s="11" t="s">
        <v>50</v>
      </c>
      <c r="F2" s="11">
        <v>1342</v>
      </c>
      <c r="G2" s="11">
        <v>648</v>
      </c>
      <c r="H2" s="11">
        <v>32420600</v>
      </c>
      <c r="I2" s="11">
        <v>122.1</v>
      </c>
      <c r="J2" s="12">
        <v>32421000</v>
      </c>
      <c r="K2" s="11">
        <v>0</v>
      </c>
      <c r="L2" s="11"/>
      <c r="M2" s="12"/>
      <c r="N2" s="12"/>
      <c r="O2" s="11">
        <v>11180000</v>
      </c>
      <c r="P2" s="11">
        <v>0</v>
      </c>
      <c r="Q2" s="11"/>
      <c r="R2" s="12"/>
      <c r="S2" s="11">
        <v>4119000</v>
      </c>
      <c r="T2" s="12"/>
      <c r="U2" s="12">
        <v>2580000</v>
      </c>
      <c r="V2" s="11">
        <v>0</v>
      </c>
      <c r="W2" s="12">
        <v>7093000</v>
      </c>
      <c r="X2" s="11">
        <v>0</v>
      </c>
      <c r="Y2" s="11"/>
      <c r="Z2" s="11"/>
      <c r="AA2" s="11">
        <v>2987000</v>
      </c>
      <c r="AB2" s="11">
        <v>3803000</v>
      </c>
      <c r="AC2" s="11">
        <v>275200</v>
      </c>
      <c r="AD2" s="11"/>
      <c r="AE2" s="11"/>
      <c r="AF2" s="11">
        <v>387700</v>
      </c>
      <c r="AG2" s="11">
        <v>0</v>
      </c>
      <c r="AH2" s="11"/>
      <c r="AI2" s="11"/>
      <c r="AJ2" s="11">
        <v>0</v>
      </c>
      <c r="AK2" s="11"/>
      <c r="AL2" s="11"/>
      <c r="AM2" s="11"/>
      <c r="AN2" s="11"/>
      <c r="AO2" s="11"/>
      <c r="AP2" s="11"/>
      <c r="AQ2" s="11"/>
      <c r="AR2" s="11"/>
      <c r="AS2" s="12">
        <v>1377388</v>
      </c>
      <c r="AT2" s="11">
        <v>5.19</v>
      </c>
      <c r="AU2" s="11">
        <v>4.2497069167643613E-2</v>
      </c>
      <c r="AV2" s="11">
        <v>0</v>
      </c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>
        <v>6004.2150000000001</v>
      </c>
      <c r="BH2" s="11">
        <v>22.62113591410003</v>
      </c>
      <c r="BI2" s="11" t="s">
        <v>51</v>
      </c>
      <c r="BJ2" s="11">
        <v>10824.753000000001</v>
      </c>
      <c r="BK2" s="11">
        <v>40.782718282000573</v>
      </c>
      <c r="BL2" s="11" t="s">
        <v>52</v>
      </c>
      <c r="BM2" s="11">
        <v>4689846</v>
      </c>
      <c r="BN2" s="11">
        <v>17.6691946877649</v>
      </c>
      <c r="BO2" s="11" t="s">
        <v>53</v>
      </c>
      <c r="BP2" s="11">
        <v>265425</v>
      </c>
      <c r="BQ2" s="11">
        <v>265425</v>
      </c>
      <c r="BR2" s="11">
        <v>92288.58</v>
      </c>
      <c r="BS2" s="11">
        <v>92288.58</v>
      </c>
      <c r="BT2" s="11">
        <v>7945.14</v>
      </c>
      <c r="BU2" s="11">
        <v>8754.56</v>
      </c>
      <c r="BV2" s="11">
        <v>2730.95</v>
      </c>
      <c r="BW2" s="11">
        <v>1050.01</v>
      </c>
      <c r="BX2" s="11"/>
      <c r="BY2" s="11"/>
      <c r="BZ2" s="11"/>
      <c r="CA2" s="11"/>
      <c r="CB2" s="11">
        <v>34.833876520800303</v>
      </c>
      <c r="CC2" s="11">
        <v>38.337021122346478</v>
      </c>
      <c r="CD2" s="11">
        <v>37.047664302946117</v>
      </c>
      <c r="CE2" s="11">
        <v>51.987403650744248</v>
      </c>
      <c r="CF2" s="11">
        <v>37.731069227912123</v>
      </c>
      <c r="CG2" s="11">
        <v>274038.78000000003</v>
      </c>
      <c r="CH2" s="11">
        <v>0.7958873557968692</v>
      </c>
      <c r="CI2" s="11">
        <v>0.34770115851935568</v>
      </c>
      <c r="CJ2" s="11">
        <v>1.0324527832721111</v>
      </c>
      <c r="CK2" s="11">
        <v>1.3801534143355001</v>
      </c>
      <c r="CL2" s="11"/>
      <c r="CM2" s="11"/>
      <c r="CN2" s="11"/>
      <c r="CO2" s="11"/>
      <c r="CP2" s="11"/>
      <c r="CQ2" s="11"/>
      <c r="CR2" s="11"/>
      <c r="CS2" s="11"/>
      <c r="CT2" s="11">
        <v>0.192</v>
      </c>
      <c r="CU2" s="11">
        <v>5.208333333333333</v>
      </c>
      <c r="CV2" s="11">
        <v>6.2E-2</v>
      </c>
      <c r="CW2" s="11"/>
      <c r="CX2" s="11">
        <v>4.7E-2</v>
      </c>
      <c r="CY2" s="11"/>
      <c r="CZ2" s="11">
        <v>2.7E-2</v>
      </c>
      <c r="DA2" s="11">
        <v>7.9000000000000001E-2</v>
      </c>
      <c r="DB2" s="11">
        <v>0.43499999999999989</v>
      </c>
      <c r="DC2" s="11">
        <v>0.87800000000000078</v>
      </c>
      <c r="DD2" s="11">
        <v>0.89999999999999947</v>
      </c>
      <c r="DE2" s="11">
        <v>1.025056947608199</v>
      </c>
      <c r="DF2" s="11">
        <v>3.9157953056958197E-2</v>
      </c>
      <c r="DG2" s="11">
        <v>1.1875515079589329</v>
      </c>
      <c r="DH2" s="11">
        <v>1.1907884066512151</v>
      </c>
      <c r="DI2" s="11">
        <v>92.514813523875873</v>
      </c>
      <c r="DJ2" s="11">
        <v>92.263332171488258</v>
      </c>
      <c r="DK2" s="11">
        <v>2.4802997117829868</v>
      </c>
      <c r="DL2" s="11">
        <v>2.4870602428755171</v>
      </c>
      <c r="DM2" s="11">
        <v>253316</v>
      </c>
      <c r="DN2" s="11">
        <v>0.95437882641047378</v>
      </c>
      <c r="DO2" s="11">
        <v>253316</v>
      </c>
      <c r="DP2" s="11">
        <v>0.95437882641047378</v>
      </c>
      <c r="DQ2" s="11">
        <v>253316</v>
      </c>
      <c r="DR2" s="11">
        <v>0.95437882641047378</v>
      </c>
      <c r="DS2" s="13">
        <v>5</v>
      </c>
      <c r="DT2" s="13">
        <v>0.97992377471776126</v>
      </c>
      <c r="DU2" s="13"/>
      <c r="DV2" s="13"/>
      <c r="DW2" s="13"/>
      <c r="DX2" s="13"/>
      <c r="DY2" s="11">
        <v>329.33</v>
      </c>
      <c r="DZ2" s="11">
        <v>228.131</v>
      </c>
      <c r="EA2" s="11">
        <v>1</v>
      </c>
      <c r="EB2" s="11"/>
    </row>
    <row r="3" spans="1:132" ht="15.75" x14ac:dyDescent="0.3">
      <c r="A3" s="11" t="s">
        <v>54</v>
      </c>
      <c r="B3" s="11" t="s">
        <v>55</v>
      </c>
      <c r="C3" s="11" t="s">
        <v>56</v>
      </c>
      <c r="D3" s="11" t="s">
        <v>49</v>
      </c>
      <c r="E3" s="11" t="s">
        <v>50</v>
      </c>
      <c r="F3" s="11">
        <v>2220</v>
      </c>
      <c r="G3" s="11">
        <v>709</v>
      </c>
      <c r="H3" s="11">
        <v>32022500</v>
      </c>
      <c r="I3" s="11">
        <v>120.6</v>
      </c>
      <c r="J3" s="11">
        <v>32022000</v>
      </c>
      <c r="K3" s="11">
        <v>0</v>
      </c>
      <c r="L3" s="11"/>
      <c r="M3" s="11"/>
      <c r="N3" s="11"/>
      <c r="O3" s="11">
        <v>9115000</v>
      </c>
      <c r="P3" s="11">
        <v>0</v>
      </c>
      <c r="Q3" s="11"/>
      <c r="R3" s="11"/>
      <c r="S3" s="11">
        <v>4464000</v>
      </c>
      <c r="T3" s="11"/>
      <c r="U3" s="11">
        <v>2580000</v>
      </c>
      <c r="V3" s="11">
        <v>0</v>
      </c>
      <c r="W3" s="11">
        <v>7093000</v>
      </c>
      <c r="X3" s="11">
        <v>0</v>
      </c>
      <c r="Y3" s="11"/>
      <c r="Z3" s="11"/>
      <c r="AA3" s="11">
        <v>4153000</v>
      </c>
      <c r="AB3" s="11">
        <v>3939000</v>
      </c>
      <c r="AC3" s="11">
        <v>290700</v>
      </c>
      <c r="AD3" s="11"/>
      <c r="AE3" s="11"/>
      <c r="AF3" s="11">
        <v>387700</v>
      </c>
      <c r="AG3" s="11">
        <v>0</v>
      </c>
      <c r="AH3" s="11"/>
      <c r="AI3" s="11"/>
      <c r="AJ3" s="11">
        <v>0</v>
      </c>
      <c r="AK3" s="11"/>
      <c r="AL3" s="11"/>
      <c r="AM3" s="11"/>
      <c r="AN3" s="11"/>
      <c r="AO3" s="11"/>
      <c r="AP3" s="11"/>
      <c r="AQ3" s="11"/>
      <c r="AR3" s="11"/>
      <c r="AS3" s="11">
        <v>1360474</v>
      </c>
      <c r="AT3" s="11">
        <v>5.13</v>
      </c>
      <c r="AU3" s="11">
        <v>4.2497069167643613E-2</v>
      </c>
      <c r="AV3" s="11">
        <v>0</v>
      </c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>
        <v>3786.4290000000001</v>
      </c>
      <c r="BH3" s="11">
        <v>14.26553263633795</v>
      </c>
      <c r="BI3" s="11" t="s">
        <v>51</v>
      </c>
      <c r="BJ3" s="11">
        <v>10987.026</v>
      </c>
      <c r="BK3" s="11">
        <v>41.394088725628713</v>
      </c>
      <c r="BL3" s="11" t="s">
        <v>52</v>
      </c>
      <c r="BM3" s="11">
        <v>4827222</v>
      </c>
      <c r="BN3" s="11">
        <v>18.186764622774799</v>
      </c>
      <c r="BO3" s="11" t="s">
        <v>57</v>
      </c>
      <c r="BP3" s="11">
        <v>265425</v>
      </c>
      <c r="BQ3" s="11">
        <v>265425</v>
      </c>
      <c r="BR3" s="11">
        <v>92288.63</v>
      </c>
      <c r="BS3" s="11">
        <v>92288.63</v>
      </c>
      <c r="BT3" s="11">
        <v>14581.71</v>
      </c>
      <c r="BU3" s="11">
        <v>4598.75</v>
      </c>
      <c r="BV3" s="11">
        <v>8754.56</v>
      </c>
      <c r="BW3" s="11">
        <v>2730.95</v>
      </c>
      <c r="BX3" s="11"/>
      <c r="BY3" s="11"/>
      <c r="BZ3" s="11"/>
      <c r="CA3" s="11"/>
      <c r="CB3" s="11">
        <v>34.833846812982273</v>
      </c>
      <c r="CC3" s="11">
        <v>31.964358089689071</v>
      </c>
      <c r="CD3" s="11">
        <v>38.006632237020924</v>
      </c>
      <c r="CE3" s="11">
        <v>37.047664302946117</v>
      </c>
      <c r="CF3" s="11">
        <v>51.987403650744248</v>
      </c>
      <c r="CG3" s="11">
        <v>274038.78000000003</v>
      </c>
      <c r="CH3" s="11">
        <v>0.7958873557968692</v>
      </c>
      <c r="CI3" s="11">
        <v>0.3477013468964868</v>
      </c>
      <c r="CJ3" s="11">
        <v>1.0324527832721111</v>
      </c>
      <c r="CK3" s="11">
        <v>1.380153527361778</v>
      </c>
      <c r="CL3" s="11"/>
      <c r="CM3" s="11"/>
      <c r="CN3" s="11"/>
      <c r="CO3" s="11"/>
      <c r="CP3" s="11"/>
      <c r="CQ3" s="11"/>
      <c r="CR3" s="11"/>
      <c r="CS3" s="11"/>
      <c r="CT3" s="11">
        <v>0.192</v>
      </c>
      <c r="CU3" s="11">
        <v>5.208333333333333</v>
      </c>
      <c r="CV3" s="11">
        <v>6.2E-2</v>
      </c>
      <c r="CW3" s="11"/>
      <c r="CX3" s="11">
        <v>4.7E-2</v>
      </c>
      <c r="CY3" s="11"/>
      <c r="CZ3" s="11">
        <v>2.7E-2</v>
      </c>
      <c r="DA3" s="11">
        <v>7.9000000000000001E-2</v>
      </c>
      <c r="DB3" s="11">
        <v>0.43499999999999989</v>
      </c>
      <c r="DC3" s="11">
        <v>0.87800000000000078</v>
      </c>
      <c r="DD3" s="11">
        <v>0.89999999999999947</v>
      </c>
      <c r="DE3" s="11">
        <v>1.025056947608199</v>
      </c>
      <c r="DF3" s="11">
        <v>3.9157931842019232E-2</v>
      </c>
      <c r="DG3" s="11">
        <v>1.1875515079589329</v>
      </c>
      <c r="DH3" s="11">
        <v>1.1907884066512151</v>
      </c>
      <c r="DI3" s="11">
        <v>92.514813523875873</v>
      </c>
      <c r="DJ3" s="11">
        <v>92.263332171488258</v>
      </c>
      <c r="DK3" s="11">
        <v>2.4802997117829868</v>
      </c>
      <c r="DL3" s="11">
        <v>2.4870602428755171</v>
      </c>
      <c r="DM3" s="11">
        <v>250322</v>
      </c>
      <c r="DN3" s="11">
        <v>0.94309880380521804</v>
      </c>
      <c r="DO3" s="11">
        <v>250322</v>
      </c>
      <c r="DP3" s="11">
        <v>0.94309880380521804</v>
      </c>
      <c r="DQ3" s="11">
        <v>250322</v>
      </c>
      <c r="DR3" s="11">
        <v>0.94309880380521804</v>
      </c>
      <c r="DS3" s="13">
        <v>5</v>
      </c>
      <c r="DT3" s="13">
        <v>0.97992377471776126</v>
      </c>
      <c r="DU3" s="13"/>
      <c r="DV3" s="13"/>
      <c r="DW3" s="13"/>
      <c r="DX3" s="13"/>
      <c r="DY3" s="11">
        <v>455.34100000000001</v>
      </c>
      <c r="DZ3" s="11">
        <v>234.066</v>
      </c>
      <c r="EA3" s="11">
        <v>1</v>
      </c>
      <c r="EB3" s="11"/>
    </row>
    <row r="4" spans="1:132" ht="15.75" x14ac:dyDescent="0.3">
      <c r="A4" s="11" t="s">
        <v>58</v>
      </c>
      <c r="B4" s="11" t="s">
        <v>59</v>
      </c>
      <c r="C4" s="11" t="s">
        <v>60</v>
      </c>
      <c r="D4" s="11" t="s">
        <v>49</v>
      </c>
      <c r="E4" s="11" t="s">
        <v>50</v>
      </c>
      <c r="F4" s="11">
        <v>2178</v>
      </c>
      <c r="G4" s="11">
        <v>743</v>
      </c>
      <c r="H4" s="11">
        <v>32152800</v>
      </c>
      <c r="I4" s="11">
        <v>121.1</v>
      </c>
      <c r="J4" s="11">
        <v>32153000</v>
      </c>
      <c r="K4" s="11">
        <v>0</v>
      </c>
      <c r="L4" s="11"/>
      <c r="M4" s="11"/>
      <c r="N4" s="11"/>
      <c r="O4" s="11">
        <v>9174000</v>
      </c>
      <c r="P4" s="11">
        <v>0</v>
      </c>
      <c r="Q4" s="11"/>
      <c r="R4" s="11"/>
      <c r="S4" s="11">
        <v>4491000</v>
      </c>
      <c r="T4" s="11"/>
      <c r="U4" s="11">
        <v>2580000</v>
      </c>
      <c r="V4" s="11">
        <v>0</v>
      </c>
      <c r="W4" s="11">
        <v>7093000</v>
      </c>
      <c r="X4" s="11">
        <v>0</v>
      </c>
      <c r="Y4" s="11"/>
      <c r="Z4" s="11"/>
      <c r="AA4" s="11">
        <v>4184000</v>
      </c>
      <c r="AB4" s="11">
        <v>3950000</v>
      </c>
      <c r="AC4" s="11">
        <v>292800</v>
      </c>
      <c r="AD4" s="11"/>
      <c r="AE4" s="11"/>
      <c r="AF4" s="11">
        <v>387700</v>
      </c>
      <c r="AG4" s="11">
        <v>0</v>
      </c>
      <c r="AH4" s="11"/>
      <c r="AI4" s="11"/>
      <c r="AJ4" s="11">
        <v>0</v>
      </c>
      <c r="AK4" s="11"/>
      <c r="AL4" s="11"/>
      <c r="AM4" s="11"/>
      <c r="AN4" s="11"/>
      <c r="AO4" s="11"/>
      <c r="AP4" s="11"/>
      <c r="AQ4" s="11"/>
      <c r="AR4" s="11"/>
      <c r="AS4" s="11">
        <v>1366011</v>
      </c>
      <c r="AT4" s="11">
        <v>5.15</v>
      </c>
      <c r="AU4" s="11">
        <v>4.2497069167643613E-2</v>
      </c>
      <c r="AV4" s="11">
        <v>0</v>
      </c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>
        <v>3815.047</v>
      </c>
      <c r="BH4" s="11">
        <v>14.373352171046429</v>
      </c>
      <c r="BI4" s="11" t="s">
        <v>51</v>
      </c>
      <c r="BJ4" s="11">
        <v>11146.494000000001</v>
      </c>
      <c r="BK4" s="11">
        <v>41.994891212206838</v>
      </c>
      <c r="BL4" s="11" t="s">
        <v>52</v>
      </c>
      <c r="BM4" s="11">
        <v>4325164</v>
      </c>
      <c r="BN4" s="11">
        <v>16.295239709899221</v>
      </c>
      <c r="BO4" s="11" t="s">
        <v>61</v>
      </c>
      <c r="BP4" s="11">
        <v>265425</v>
      </c>
      <c r="BQ4" s="11">
        <v>265425</v>
      </c>
      <c r="BR4" s="11">
        <v>92288.71</v>
      </c>
      <c r="BS4" s="11">
        <v>92288.71</v>
      </c>
      <c r="BT4" s="11">
        <v>3880.08</v>
      </c>
      <c r="BU4" s="11">
        <v>1050.01</v>
      </c>
      <c r="BV4" s="11">
        <v>4598.75</v>
      </c>
      <c r="BW4" s="11">
        <v>8754.56</v>
      </c>
      <c r="BX4" s="11"/>
      <c r="BY4" s="11"/>
      <c r="BZ4" s="11"/>
      <c r="CA4" s="11"/>
      <c r="CB4" s="11">
        <v>34.833816617438899</v>
      </c>
      <c r="CC4" s="11">
        <v>43.666883157048311</v>
      </c>
      <c r="CD4" s="11">
        <v>37.731069227912123</v>
      </c>
      <c r="CE4" s="11">
        <v>38.006632237020924</v>
      </c>
      <c r="CF4" s="11">
        <v>37.047664302946117</v>
      </c>
      <c r="CG4" s="11">
        <v>274038.78000000003</v>
      </c>
      <c r="CH4" s="11">
        <v>0.7958873557968692</v>
      </c>
      <c r="CI4" s="11">
        <v>0.34770164829989642</v>
      </c>
      <c r="CJ4" s="11">
        <v>1.0324527832721111</v>
      </c>
      <c r="CK4" s="11">
        <v>1.3801538664406141</v>
      </c>
      <c r="CL4" s="11"/>
      <c r="CM4" s="11"/>
      <c r="CN4" s="11"/>
      <c r="CO4" s="11"/>
      <c r="CP4" s="11"/>
      <c r="CQ4" s="11"/>
      <c r="CR4" s="11"/>
      <c r="CS4" s="11"/>
      <c r="CT4" s="11">
        <v>0.192</v>
      </c>
      <c r="CU4" s="11">
        <v>5.208333333333333</v>
      </c>
      <c r="CV4" s="11">
        <v>6.2E-2</v>
      </c>
      <c r="CW4" s="11"/>
      <c r="CX4" s="11">
        <v>4.7E-2</v>
      </c>
      <c r="CY4" s="11"/>
      <c r="CZ4" s="11">
        <v>2.7E-2</v>
      </c>
      <c r="DA4" s="11">
        <v>7.9000000000000001E-2</v>
      </c>
      <c r="DB4" s="11">
        <v>0.43499999999999989</v>
      </c>
      <c r="DC4" s="11">
        <v>0.87800000000000078</v>
      </c>
      <c r="DD4" s="11">
        <v>0.89999999999999947</v>
      </c>
      <c r="DE4" s="11">
        <v>1.025056947608199</v>
      </c>
      <c r="DF4" s="11">
        <v>3.9157897898164692E-2</v>
      </c>
      <c r="DG4" s="11">
        <v>1.1875515079589329</v>
      </c>
      <c r="DH4" s="11">
        <v>1.1907884066512151</v>
      </c>
      <c r="DI4" s="11">
        <v>92.514813523875873</v>
      </c>
      <c r="DJ4" s="11">
        <v>92.263332171488258</v>
      </c>
      <c r="DK4" s="11">
        <v>2.4802997117829868</v>
      </c>
      <c r="DL4" s="11">
        <v>2.4870602428755171</v>
      </c>
      <c r="DM4" s="11">
        <v>252037</v>
      </c>
      <c r="DN4" s="11">
        <v>0.94956013939907691</v>
      </c>
      <c r="DO4" s="11">
        <v>252037</v>
      </c>
      <c r="DP4" s="11">
        <v>0.94956013939907691</v>
      </c>
      <c r="DQ4" s="11">
        <v>252037</v>
      </c>
      <c r="DR4" s="11">
        <v>0.94956013939907691</v>
      </c>
      <c r="DS4" s="13">
        <v>4.9999999999999991</v>
      </c>
      <c r="DT4" s="13">
        <v>0.97992377471776126</v>
      </c>
      <c r="DU4" s="13"/>
      <c r="DV4" s="13"/>
      <c r="DW4" s="13"/>
      <c r="DX4" s="13"/>
      <c r="DY4" s="11">
        <v>457.76100000000002</v>
      </c>
      <c r="DZ4" s="11">
        <v>234.75700000000001</v>
      </c>
      <c r="EA4" s="11">
        <v>1</v>
      </c>
      <c r="EB4" s="11"/>
    </row>
    <row r="5" spans="1:132" ht="15.75" x14ac:dyDescent="0.3">
      <c r="A5" s="11" t="s">
        <v>62</v>
      </c>
      <c r="B5" s="11" t="s">
        <v>63</v>
      </c>
      <c r="C5" s="11" t="s">
        <v>64</v>
      </c>
      <c r="D5" s="11" t="s">
        <v>49</v>
      </c>
      <c r="E5" s="11" t="s">
        <v>50</v>
      </c>
      <c r="F5" s="11">
        <v>2243</v>
      </c>
      <c r="G5" s="11">
        <v>683</v>
      </c>
      <c r="H5" s="11">
        <v>32104300</v>
      </c>
      <c r="I5" s="11">
        <v>121</v>
      </c>
      <c r="J5" s="11">
        <v>32104000</v>
      </c>
      <c r="K5" s="11">
        <v>0</v>
      </c>
      <c r="L5" s="11"/>
      <c r="M5" s="11"/>
      <c r="N5" s="11"/>
      <c r="O5" s="11">
        <v>9165000</v>
      </c>
      <c r="P5" s="11">
        <v>0</v>
      </c>
      <c r="Q5" s="11"/>
      <c r="R5" s="11"/>
      <c r="S5" s="11">
        <v>4472000</v>
      </c>
      <c r="T5" s="11"/>
      <c r="U5" s="11">
        <v>2580000</v>
      </c>
      <c r="V5" s="11">
        <v>0</v>
      </c>
      <c r="W5" s="11">
        <v>7093000</v>
      </c>
      <c r="X5" s="11">
        <v>0</v>
      </c>
      <c r="Y5" s="11"/>
      <c r="Z5" s="11"/>
      <c r="AA5" s="11">
        <v>4173000</v>
      </c>
      <c r="AB5" s="11">
        <v>3942000</v>
      </c>
      <c r="AC5" s="11">
        <v>291000</v>
      </c>
      <c r="AD5" s="11"/>
      <c r="AE5" s="11"/>
      <c r="AF5" s="11">
        <v>387700</v>
      </c>
      <c r="AG5" s="11">
        <v>0</v>
      </c>
      <c r="AH5" s="11"/>
      <c r="AI5" s="11"/>
      <c r="AJ5" s="11">
        <v>0</v>
      </c>
      <c r="AK5" s="11"/>
      <c r="AL5" s="11"/>
      <c r="AM5" s="11"/>
      <c r="AN5" s="11"/>
      <c r="AO5" s="11"/>
      <c r="AP5" s="11"/>
      <c r="AQ5" s="11"/>
      <c r="AR5" s="11"/>
      <c r="AS5" s="11">
        <v>1363952</v>
      </c>
      <c r="AT5" s="11">
        <v>5.14</v>
      </c>
      <c r="AU5" s="11">
        <v>4.2497069167643613E-2</v>
      </c>
      <c r="AV5" s="11">
        <v>0</v>
      </c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>
        <v>3805.3090000000002</v>
      </c>
      <c r="BH5" s="11">
        <v>14.336663841009701</v>
      </c>
      <c r="BI5" s="11" t="s">
        <v>51</v>
      </c>
      <c r="BJ5" s="11">
        <v>11004.142</v>
      </c>
      <c r="BK5" s="11">
        <v>41.458573985118207</v>
      </c>
      <c r="BL5" s="11" t="s">
        <v>52</v>
      </c>
      <c r="BM5" s="11">
        <v>4600541</v>
      </c>
      <c r="BN5" s="11">
        <v>17.332734294056699</v>
      </c>
      <c r="BO5" s="11" t="s">
        <v>57</v>
      </c>
      <c r="BP5" s="11">
        <v>265425</v>
      </c>
      <c r="BQ5" s="11">
        <v>265425</v>
      </c>
      <c r="BR5" s="11">
        <v>92288.66</v>
      </c>
      <c r="BS5" s="11">
        <v>92288.66</v>
      </c>
      <c r="BT5" s="11">
        <v>19140.12</v>
      </c>
      <c r="BU5" s="11">
        <v>2730.95</v>
      </c>
      <c r="BV5" s="11">
        <v>1050.01</v>
      </c>
      <c r="BW5" s="11">
        <v>4598.75</v>
      </c>
      <c r="BX5" s="11"/>
      <c r="BY5" s="11"/>
      <c r="BZ5" s="11"/>
      <c r="CA5" s="11"/>
      <c r="CB5" s="11">
        <v>34.833846325214807</v>
      </c>
      <c r="CC5" s="11">
        <v>33.800362798143382</v>
      </c>
      <c r="CD5" s="11">
        <v>51.987403650744248</v>
      </c>
      <c r="CE5" s="11">
        <v>37.731069227912123</v>
      </c>
      <c r="CF5" s="11">
        <v>38.006632237020924</v>
      </c>
      <c r="CG5" s="11">
        <v>274038.78000000003</v>
      </c>
      <c r="CH5" s="11">
        <v>0.7958873557968692</v>
      </c>
      <c r="CI5" s="11">
        <v>0.34770145992276541</v>
      </c>
      <c r="CJ5" s="11">
        <v>1.0324527832721111</v>
      </c>
      <c r="CK5" s="11">
        <v>1.380153640388057</v>
      </c>
      <c r="CL5" s="11"/>
      <c r="CM5" s="11"/>
      <c r="CN5" s="11"/>
      <c r="CO5" s="11"/>
      <c r="CP5" s="11"/>
      <c r="CQ5" s="11"/>
      <c r="CR5" s="11"/>
      <c r="CS5" s="11"/>
      <c r="CT5" s="11">
        <v>0.192</v>
      </c>
      <c r="CU5" s="11">
        <v>5.208333333333333</v>
      </c>
      <c r="CV5" s="11">
        <v>6.2E-2</v>
      </c>
      <c r="CW5" s="11"/>
      <c r="CX5" s="11">
        <v>4.7E-2</v>
      </c>
      <c r="CY5" s="11"/>
      <c r="CZ5" s="11">
        <v>2.7E-2</v>
      </c>
      <c r="DA5" s="11">
        <v>7.9000000000000001E-2</v>
      </c>
      <c r="DB5" s="11">
        <v>0.43499999999999989</v>
      </c>
      <c r="DC5" s="11">
        <v>0.87800000000000078</v>
      </c>
      <c r="DD5" s="11">
        <v>0.89999999999999947</v>
      </c>
      <c r="DE5" s="11">
        <v>1.025056947608199</v>
      </c>
      <c r="DF5" s="11">
        <v>3.9157919113066882E-2</v>
      </c>
      <c r="DG5" s="11">
        <v>1.1875515079589329</v>
      </c>
      <c r="DH5" s="11">
        <v>1.1907884066512151</v>
      </c>
      <c r="DI5" s="11">
        <v>92.514813523875873</v>
      </c>
      <c r="DJ5" s="11">
        <v>92.263332171488258</v>
      </c>
      <c r="DK5" s="11">
        <v>2.4802997117829868</v>
      </c>
      <c r="DL5" s="11">
        <v>2.4870602428755171</v>
      </c>
      <c r="DM5" s="11">
        <v>250419</v>
      </c>
      <c r="DN5" s="11">
        <v>0.94346425543938961</v>
      </c>
      <c r="DO5" s="11">
        <v>250419</v>
      </c>
      <c r="DP5" s="11">
        <v>0.94346425543938961</v>
      </c>
      <c r="DQ5" s="11">
        <v>250419</v>
      </c>
      <c r="DR5" s="11">
        <v>0.94346425543938961</v>
      </c>
      <c r="DS5" s="13">
        <v>5</v>
      </c>
      <c r="DT5" s="13">
        <v>0.97992377471776126</v>
      </c>
      <c r="DU5" s="13"/>
      <c r="DV5" s="13"/>
      <c r="DW5" s="13"/>
      <c r="DX5" s="13"/>
      <c r="DY5" s="11">
        <v>455.80799999999999</v>
      </c>
      <c r="DZ5" s="11">
        <v>234.13900000000001</v>
      </c>
      <c r="EA5" s="11">
        <v>1</v>
      </c>
      <c r="EB5" s="11"/>
    </row>
    <row r="6" spans="1:132" ht="15.75" x14ac:dyDescent="0.3">
      <c r="A6" s="11" t="s">
        <v>65</v>
      </c>
      <c r="B6" s="11" t="s">
        <v>66</v>
      </c>
      <c r="C6" s="11" t="s">
        <v>67</v>
      </c>
      <c r="D6" s="11" t="s">
        <v>49</v>
      </c>
      <c r="E6" s="11" t="s">
        <v>50</v>
      </c>
      <c r="F6" s="11">
        <v>1339</v>
      </c>
      <c r="G6" s="11">
        <v>512</v>
      </c>
      <c r="H6" s="11">
        <v>38537700</v>
      </c>
      <c r="I6" s="11">
        <v>145.19999999999999</v>
      </c>
      <c r="J6" s="12">
        <v>38538000</v>
      </c>
      <c r="K6" s="11">
        <v>0</v>
      </c>
      <c r="L6" s="11"/>
      <c r="M6" s="12"/>
      <c r="N6" s="12"/>
      <c r="O6" s="11">
        <v>10470000</v>
      </c>
      <c r="P6" s="11">
        <v>0</v>
      </c>
      <c r="Q6" s="11"/>
      <c r="R6" s="12"/>
      <c r="S6" s="11">
        <v>5864000</v>
      </c>
      <c r="T6" s="12"/>
      <c r="U6" s="12">
        <v>2487000</v>
      </c>
      <c r="V6" s="11">
        <v>0</v>
      </c>
      <c r="W6" s="12">
        <v>7093000</v>
      </c>
      <c r="X6" s="11">
        <v>0</v>
      </c>
      <c r="Y6" s="11"/>
      <c r="Z6" s="11"/>
      <c r="AA6" s="11">
        <v>7695000</v>
      </c>
      <c r="AB6" s="11">
        <v>4204000</v>
      </c>
      <c r="AC6" s="11">
        <v>335200</v>
      </c>
      <c r="AD6" s="11"/>
      <c r="AE6" s="11"/>
      <c r="AF6" s="11">
        <v>387700</v>
      </c>
      <c r="AG6" s="11">
        <v>0</v>
      </c>
      <c r="AH6" s="11"/>
      <c r="AI6" s="11"/>
      <c r="AJ6" s="11">
        <v>0</v>
      </c>
      <c r="AK6" s="11"/>
      <c r="AL6" s="11"/>
      <c r="AM6" s="11"/>
      <c r="AN6" s="11"/>
      <c r="AO6" s="11"/>
      <c r="AP6" s="11"/>
      <c r="AQ6" s="11"/>
      <c r="AR6" s="11"/>
      <c r="AS6" s="12">
        <v>1637275</v>
      </c>
      <c r="AT6" s="11">
        <v>6.17</v>
      </c>
      <c r="AU6" s="11">
        <v>4.2497069167643613E-2</v>
      </c>
      <c r="AV6" s="11">
        <v>0</v>
      </c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>
        <v>5948.2939999999999</v>
      </c>
      <c r="BH6" s="11">
        <v>22.410451163228789</v>
      </c>
      <c r="BI6" s="11" t="s">
        <v>51</v>
      </c>
      <c r="BJ6" s="11">
        <v>13320.468999999999</v>
      </c>
      <c r="BK6" s="11">
        <v>50.185434680229818</v>
      </c>
      <c r="BL6" s="11" t="s">
        <v>68</v>
      </c>
      <c r="BM6" s="11">
        <v>4906833</v>
      </c>
      <c r="BN6" s="11">
        <v>18.48670245832156</v>
      </c>
      <c r="BO6" s="11" t="s">
        <v>69</v>
      </c>
      <c r="BP6" s="11">
        <v>265425</v>
      </c>
      <c r="BQ6" s="11">
        <v>265425</v>
      </c>
      <c r="BR6" s="11">
        <v>92288.58</v>
      </c>
      <c r="BS6" s="11">
        <v>92288.58</v>
      </c>
      <c r="BT6" s="11">
        <v>7945.14</v>
      </c>
      <c r="BU6" s="11">
        <v>8754.56</v>
      </c>
      <c r="BV6" s="11">
        <v>2730.95</v>
      </c>
      <c r="BW6" s="11">
        <v>1050.01</v>
      </c>
      <c r="BX6" s="11"/>
      <c r="BY6" s="11"/>
      <c r="BZ6" s="11"/>
      <c r="CA6" s="11"/>
      <c r="CB6" s="11">
        <v>34.833876520800303</v>
      </c>
      <c r="CC6" s="11">
        <v>38.337021122346478</v>
      </c>
      <c r="CD6" s="11">
        <v>37.047664302946117</v>
      </c>
      <c r="CE6" s="11">
        <v>51.987403650744248</v>
      </c>
      <c r="CF6" s="11">
        <v>37.731069227912123</v>
      </c>
      <c r="CG6" s="11">
        <v>274038.78000000003</v>
      </c>
      <c r="CH6" s="11">
        <v>0.7958873557968692</v>
      </c>
      <c r="CI6" s="11">
        <v>0.34770115851935568</v>
      </c>
      <c r="CJ6" s="11">
        <v>1.0324527832721111</v>
      </c>
      <c r="CK6" s="11">
        <v>1.3801534143355001</v>
      </c>
      <c r="CL6" s="11"/>
      <c r="CM6" s="11"/>
      <c r="CN6" s="11"/>
      <c r="CO6" s="11"/>
      <c r="CP6" s="11"/>
      <c r="CQ6" s="11"/>
      <c r="CR6" s="11"/>
      <c r="CS6" s="11"/>
      <c r="CT6" s="11">
        <v>0.26700000000000002</v>
      </c>
      <c r="CU6" s="11">
        <v>3.7453183520599249</v>
      </c>
      <c r="CV6" s="11">
        <v>0.11799999999999999</v>
      </c>
      <c r="CW6" s="11"/>
      <c r="CX6" s="11">
        <v>6.0999999999999999E-2</v>
      </c>
      <c r="CY6" s="11"/>
      <c r="CZ6" s="11">
        <v>2.7E-2</v>
      </c>
      <c r="DA6" s="11">
        <v>0.105</v>
      </c>
      <c r="DB6" s="11">
        <v>0.48700000000000021</v>
      </c>
      <c r="DC6" s="11">
        <v>0.87800000000000078</v>
      </c>
      <c r="DD6" s="11">
        <v>0.89999999999999947</v>
      </c>
      <c r="DE6" s="11">
        <v>1.025056947608199</v>
      </c>
      <c r="DF6" s="11">
        <v>3.9157953056958197E-2</v>
      </c>
      <c r="DG6" s="11">
        <v>1.144615322595836</v>
      </c>
      <c r="DH6" s="11">
        <v>1.157772733058291</v>
      </c>
      <c r="DI6" s="11">
        <v>92.514813523875873</v>
      </c>
      <c r="DJ6" s="11">
        <v>91.463436737539155</v>
      </c>
      <c r="DK6" s="11">
        <v>2.4802997117829868</v>
      </c>
      <c r="DL6" s="11">
        <v>2.5088108811982508</v>
      </c>
      <c r="DM6" s="11">
        <v>256283</v>
      </c>
      <c r="DN6" s="11">
        <v>0.96555712536498073</v>
      </c>
      <c r="DO6" s="11">
        <v>256283</v>
      </c>
      <c r="DP6" s="11">
        <v>0.96555712536498073</v>
      </c>
      <c r="DQ6" s="11">
        <v>256283</v>
      </c>
      <c r="DR6" s="11">
        <v>0.96555712536498073</v>
      </c>
      <c r="DS6" s="13">
        <v>4.4052863436123344</v>
      </c>
      <c r="DT6" s="13">
        <v>0.97992377471776126</v>
      </c>
      <c r="DU6" s="13"/>
      <c r="DV6" s="13"/>
      <c r="DW6" s="13"/>
      <c r="DX6" s="13"/>
      <c r="DY6" s="11">
        <v>919.24900000000002</v>
      </c>
      <c r="DZ6" s="11">
        <v>247.535</v>
      </c>
      <c r="EA6" s="11">
        <v>1</v>
      </c>
      <c r="EB6" s="11"/>
    </row>
    <row r="7" spans="1:132" ht="15.75" x14ac:dyDescent="0.3">
      <c r="A7" s="11" t="s">
        <v>70</v>
      </c>
      <c r="B7" s="11" t="s">
        <v>71</v>
      </c>
      <c r="C7" s="11" t="s">
        <v>72</v>
      </c>
      <c r="D7" s="11" t="s">
        <v>49</v>
      </c>
      <c r="E7" s="11" t="s">
        <v>50</v>
      </c>
      <c r="F7" s="11">
        <v>1373</v>
      </c>
      <c r="G7" s="11">
        <v>576</v>
      </c>
      <c r="H7" s="11">
        <v>38144500</v>
      </c>
      <c r="I7" s="11">
        <v>143.69999999999999</v>
      </c>
      <c r="J7" s="11">
        <v>38144000</v>
      </c>
      <c r="K7" s="11">
        <v>0</v>
      </c>
      <c r="L7" s="11"/>
      <c r="M7" s="11"/>
      <c r="N7" s="11"/>
      <c r="O7" s="11">
        <v>10350000</v>
      </c>
      <c r="P7" s="11">
        <v>0</v>
      </c>
      <c r="Q7" s="11"/>
      <c r="R7" s="11"/>
      <c r="S7" s="11">
        <v>5776000</v>
      </c>
      <c r="T7" s="11"/>
      <c r="U7" s="11">
        <v>2487000</v>
      </c>
      <c r="V7" s="11">
        <v>0</v>
      </c>
      <c r="W7" s="11">
        <v>7093000</v>
      </c>
      <c r="X7" s="11">
        <v>0</v>
      </c>
      <c r="Y7" s="11"/>
      <c r="Z7" s="11"/>
      <c r="AA7" s="11">
        <v>7549000</v>
      </c>
      <c r="AB7" s="11">
        <v>4170000</v>
      </c>
      <c r="AC7" s="11">
        <v>330000</v>
      </c>
      <c r="AD7" s="11"/>
      <c r="AE7" s="11"/>
      <c r="AF7" s="11">
        <v>387700</v>
      </c>
      <c r="AG7" s="11">
        <v>0</v>
      </c>
      <c r="AH7" s="11"/>
      <c r="AI7" s="11"/>
      <c r="AJ7" s="11">
        <v>0</v>
      </c>
      <c r="AK7" s="11"/>
      <c r="AL7" s="11"/>
      <c r="AM7" s="11"/>
      <c r="AN7" s="11"/>
      <c r="AO7" s="11"/>
      <c r="AP7" s="11"/>
      <c r="AQ7" s="11"/>
      <c r="AR7" s="11"/>
      <c r="AS7" s="11">
        <v>1620569</v>
      </c>
      <c r="AT7" s="11">
        <v>6.11</v>
      </c>
      <c r="AU7" s="11">
        <v>4.2497069167643613E-2</v>
      </c>
      <c r="AV7" s="11">
        <v>0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>
        <v>5844.5889999999999</v>
      </c>
      <c r="BH7" s="11">
        <v>22.019738155787891</v>
      </c>
      <c r="BI7" s="11" t="s">
        <v>51</v>
      </c>
      <c r="BJ7" s="11">
        <v>12902.2</v>
      </c>
      <c r="BK7" s="11">
        <v>48.609588395968728</v>
      </c>
      <c r="BL7" s="11" t="s">
        <v>68</v>
      </c>
      <c r="BM7" s="11">
        <v>4905025</v>
      </c>
      <c r="BN7" s="11">
        <v>18.479890741264011</v>
      </c>
      <c r="BO7" s="11" t="s">
        <v>73</v>
      </c>
      <c r="BP7" s="11">
        <v>265425</v>
      </c>
      <c r="BQ7" s="11">
        <v>265425</v>
      </c>
      <c r="BR7" s="11">
        <v>92288.63</v>
      </c>
      <c r="BS7" s="11">
        <v>92288.63</v>
      </c>
      <c r="BT7" s="11">
        <v>14581.71</v>
      </c>
      <c r="BU7" s="11">
        <v>4598.75</v>
      </c>
      <c r="BV7" s="11">
        <v>8754.56</v>
      </c>
      <c r="BW7" s="11">
        <v>2730.95</v>
      </c>
      <c r="BX7" s="11"/>
      <c r="BY7" s="11"/>
      <c r="BZ7" s="11"/>
      <c r="CA7" s="11"/>
      <c r="CB7" s="11">
        <v>34.833846812982273</v>
      </c>
      <c r="CC7" s="11">
        <v>31.964358089689071</v>
      </c>
      <c r="CD7" s="11">
        <v>38.006632237020924</v>
      </c>
      <c r="CE7" s="11">
        <v>37.047664302946117</v>
      </c>
      <c r="CF7" s="11">
        <v>51.987403650744248</v>
      </c>
      <c r="CG7" s="11">
        <v>274038.78000000003</v>
      </c>
      <c r="CH7" s="11">
        <v>0.7958873557968692</v>
      </c>
      <c r="CI7" s="11">
        <v>0.3477013468964868</v>
      </c>
      <c r="CJ7" s="11">
        <v>1.0324527832721111</v>
      </c>
      <c r="CK7" s="11">
        <v>1.380153527361778</v>
      </c>
      <c r="CL7" s="11"/>
      <c r="CM7" s="11"/>
      <c r="CN7" s="11"/>
      <c r="CO7" s="11"/>
      <c r="CP7" s="11"/>
      <c r="CQ7" s="11"/>
      <c r="CR7" s="11"/>
      <c r="CS7" s="11"/>
      <c r="CT7" s="11">
        <v>0.26700000000000002</v>
      </c>
      <c r="CU7" s="11">
        <v>3.7453183520599249</v>
      </c>
      <c r="CV7" s="11">
        <v>0.11799999999999999</v>
      </c>
      <c r="CW7" s="11"/>
      <c r="CX7" s="11">
        <v>6.0999999999999999E-2</v>
      </c>
      <c r="CY7" s="11"/>
      <c r="CZ7" s="11">
        <v>2.7E-2</v>
      </c>
      <c r="DA7" s="11">
        <v>0.105</v>
      </c>
      <c r="DB7" s="11">
        <v>0.48700000000000021</v>
      </c>
      <c r="DC7" s="11">
        <v>0.87800000000000078</v>
      </c>
      <c r="DD7" s="11">
        <v>0.89999999999999947</v>
      </c>
      <c r="DE7" s="11">
        <v>1.025056947608199</v>
      </c>
      <c r="DF7" s="11">
        <v>3.9157931842019232E-2</v>
      </c>
      <c r="DG7" s="11">
        <v>1.144615322595836</v>
      </c>
      <c r="DH7" s="11">
        <v>1.157772733058291</v>
      </c>
      <c r="DI7" s="11">
        <v>92.514813523875873</v>
      </c>
      <c r="DJ7" s="11">
        <v>91.463436737539155</v>
      </c>
      <c r="DK7" s="11">
        <v>2.4802997117829868</v>
      </c>
      <c r="DL7" s="11">
        <v>2.5088108811982508</v>
      </c>
      <c r="DM7" s="11">
        <v>252492</v>
      </c>
      <c r="DN7" s="11">
        <v>0.95127437129132519</v>
      </c>
      <c r="DO7" s="11">
        <v>252492</v>
      </c>
      <c r="DP7" s="11">
        <v>0.95127437129132519</v>
      </c>
      <c r="DQ7" s="11">
        <v>252492</v>
      </c>
      <c r="DR7" s="11">
        <v>0.95127437129132519</v>
      </c>
      <c r="DS7" s="13">
        <v>4.4052863436123344</v>
      </c>
      <c r="DT7" s="13">
        <v>0.97992377471776126</v>
      </c>
      <c r="DU7" s="13"/>
      <c r="DV7" s="13"/>
      <c r="DW7" s="13"/>
      <c r="DX7" s="13"/>
      <c r="DY7" s="11">
        <v>905.91699999999992</v>
      </c>
      <c r="DZ7" s="11">
        <v>245.69300000000001</v>
      </c>
      <c r="EA7" s="11">
        <v>1</v>
      </c>
      <c r="EB7" s="11"/>
    </row>
    <row r="8" spans="1:132" ht="15.75" x14ac:dyDescent="0.3">
      <c r="A8" s="11" t="s">
        <v>74</v>
      </c>
      <c r="B8" s="11" t="s">
        <v>75</v>
      </c>
      <c r="C8" s="11" t="s">
        <v>76</v>
      </c>
      <c r="D8" s="11" t="s">
        <v>49</v>
      </c>
      <c r="E8" s="11" t="s">
        <v>50</v>
      </c>
      <c r="F8" s="11">
        <v>1317</v>
      </c>
      <c r="G8" s="11">
        <v>589</v>
      </c>
      <c r="H8" s="11">
        <v>38361100</v>
      </c>
      <c r="I8" s="11">
        <v>144.5</v>
      </c>
      <c r="J8" s="11">
        <v>38361000</v>
      </c>
      <c r="K8" s="11">
        <v>0</v>
      </c>
      <c r="L8" s="11"/>
      <c r="M8" s="11"/>
      <c r="N8" s="11"/>
      <c r="O8" s="11">
        <v>10450000</v>
      </c>
      <c r="P8" s="11">
        <v>0</v>
      </c>
      <c r="Q8" s="11"/>
      <c r="R8" s="11"/>
      <c r="S8" s="11">
        <v>5817000</v>
      </c>
      <c r="T8" s="11"/>
      <c r="U8" s="11">
        <v>2487000</v>
      </c>
      <c r="V8" s="11">
        <v>0</v>
      </c>
      <c r="W8" s="11">
        <v>7093000</v>
      </c>
      <c r="X8" s="11">
        <v>0</v>
      </c>
      <c r="Y8" s="11"/>
      <c r="Z8" s="11"/>
      <c r="AA8" s="11">
        <v>7611000</v>
      </c>
      <c r="AB8" s="11">
        <v>4186000</v>
      </c>
      <c r="AC8" s="11">
        <v>332800</v>
      </c>
      <c r="AD8" s="11"/>
      <c r="AE8" s="11"/>
      <c r="AF8" s="11">
        <v>387700</v>
      </c>
      <c r="AG8" s="11">
        <v>0</v>
      </c>
      <c r="AH8" s="11"/>
      <c r="AI8" s="11"/>
      <c r="AJ8" s="11">
        <v>0</v>
      </c>
      <c r="AK8" s="11"/>
      <c r="AL8" s="11"/>
      <c r="AM8" s="11"/>
      <c r="AN8" s="11"/>
      <c r="AO8" s="11"/>
      <c r="AP8" s="11"/>
      <c r="AQ8" s="11"/>
      <c r="AR8" s="11"/>
      <c r="AS8" s="11">
        <v>1629770</v>
      </c>
      <c r="AT8" s="11">
        <v>6.14</v>
      </c>
      <c r="AU8" s="11">
        <v>4.2497069167643613E-2</v>
      </c>
      <c r="AV8" s="11">
        <v>0</v>
      </c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>
        <v>5929.9560000000001</v>
      </c>
      <c r="BH8" s="11">
        <v>22.341361966657249</v>
      </c>
      <c r="BI8" s="11" t="s">
        <v>51</v>
      </c>
      <c r="BJ8" s="11">
        <v>13278.191999999999</v>
      </c>
      <c r="BK8" s="11">
        <v>50.026154280870301</v>
      </c>
      <c r="BL8" s="11" t="s">
        <v>68</v>
      </c>
      <c r="BM8" s="11">
        <v>4757815</v>
      </c>
      <c r="BN8" s="11">
        <v>17.92527079212584</v>
      </c>
      <c r="BO8" s="11" t="s">
        <v>77</v>
      </c>
      <c r="BP8" s="11">
        <v>265425</v>
      </c>
      <c r="BQ8" s="11">
        <v>265425</v>
      </c>
      <c r="BR8" s="11">
        <v>92288.71</v>
      </c>
      <c r="BS8" s="11">
        <v>92288.71</v>
      </c>
      <c r="BT8" s="11">
        <v>3880.08</v>
      </c>
      <c r="BU8" s="11">
        <v>1050.01</v>
      </c>
      <c r="BV8" s="11">
        <v>4598.75</v>
      </c>
      <c r="BW8" s="11">
        <v>8754.56</v>
      </c>
      <c r="BX8" s="11"/>
      <c r="BY8" s="11"/>
      <c r="BZ8" s="11"/>
      <c r="CA8" s="11"/>
      <c r="CB8" s="11">
        <v>34.833816617438899</v>
      </c>
      <c r="CC8" s="11">
        <v>43.666883157048311</v>
      </c>
      <c r="CD8" s="11">
        <v>37.731069227912123</v>
      </c>
      <c r="CE8" s="11">
        <v>38.006632237020924</v>
      </c>
      <c r="CF8" s="11">
        <v>37.047664302946117</v>
      </c>
      <c r="CG8" s="11">
        <v>274038.78000000003</v>
      </c>
      <c r="CH8" s="11">
        <v>0.7958873557968692</v>
      </c>
      <c r="CI8" s="11">
        <v>0.34770164829989642</v>
      </c>
      <c r="CJ8" s="11">
        <v>1.0324527832721111</v>
      </c>
      <c r="CK8" s="11">
        <v>1.3801538664406141</v>
      </c>
      <c r="CL8" s="11"/>
      <c r="CM8" s="11"/>
      <c r="CN8" s="11"/>
      <c r="CO8" s="11"/>
      <c r="CP8" s="11"/>
      <c r="CQ8" s="11"/>
      <c r="CR8" s="11"/>
      <c r="CS8" s="11"/>
      <c r="CT8" s="11">
        <v>0.26700000000000002</v>
      </c>
      <c r="CU8" s="11">
        <v>3.7453183520599249</v>
      </c>
      <c r="CV8" s="11">
        <v>0.11799999999999999</v>
      </c>
      <c r="CW8" s="11"/>
      <c r="CX8" s="11">
        <v>6.0999999999999999E-2</v>
      </c>
      <c r="CY8" s="11"/>
      <c r="CZ8" s="11">
        <v>2.7E-2</v>
      </c>
      <c r="DA8" s="11">
        <v>0.105</v>
      </c>
      <c r="DB8" s="11">
        <v>0.48700000000000021</v>
      </c>
      <c r="DC8" s="11">
        <v>0.87800000000000078</v>
      </c>
      <c r="DD8" s="11">
        <v>0.89999999999999947</v>
      </c>
      <c r="DE8" s="11">
        <v>1.025056947608199</v>
      </c>
      <c r="DF8" s="11">
        <v>3.9157897898164692E-2</v>
      </c>
      <c r="DG8" s="11">
        <v>1.144615322595836</v>
      </c>
      <c r="DH8" s="11">
        <v>1.157772733058291</v>
      </c>
      <c r="DI8" s="11">
        <v>92.514813523875873</v>
      </c>
      <c r="DJ8" s="11">
        <v>91.463436737539155</v>
      </c>
      <c r="DK8" s="11">
        <v>2.4802997117829868</v>
      </c>
      <c r="DL8" s="11">
        <v>2.5088108811982508</v>
      </c>
      <c r="DM8" s="11">
        <v>254822</v>
      </c>
      <c r="DN8" s="11">
        <v>0.96005274559668452</v>
      </c>
      <c r="DO8" s="11">
        <v>254822</v>
      </c>
      <c r="DP8" s="11">
        <v>0.96005274559668452</v>
      </c>
      <c r="DQ8" s="11">
        <v>254822</v>
      </c>
      <c r="DR8" s="11">
        <v>0.96005274559668452</v>
      </c>
      <c r="DS8" s="13">
        <v>4.4052863436123344</v>
      </c>
      <c r="DT8" s="13">
        <v>0.97992377471776126</v>
      </c>
      <c r="DU8" s="13"/>
      <c r="DV8" s="13"/>
      <c r="DW8" s="13"/>
      <c r="DX8" s="13"/>
      <c r="DY8" s="11">
        <v>912.29599999999982</v>
      </c>
      <c r="DZ8" s="11">
        <v>246.71299999999999</v>
      </c>
      <c r="EA8" s="11">
        <v>1</v>
      </c>
      <c r="EB8" s="11"/>
    </row>
    <row r="9" spans="1:132" ht="15.75" x14ac:dyDescent="0.3">
      <c r="A9" s="11" t="s">
        <v>78</v>
      </c>
      <c r="B9" s="11" t="s">
        <v>79</v>
      </c>
      <c r="C9" s="11" t="s">
        <v>80</v>
      </c>
      <c r="D9" s="11" t="s">
        <v>49</v>
      </c>
      <c r="E9" s="11" t="s">
        <v>50</v>
      </c>
      <c r="F9" s="11">
        <v>1304</v>
      </c>
      <c r="G9" s="11">
        <v>561</v>
      </c>
      <c r="H9" s="11">
        <v>38271800</v>
      </c>
      <c r="I9" s="11">
        <v>144.19999999999999</v>
      </c>
      <c r="J9" s="11">
        <v>38272000</v>
      </c>
      <c r="K9" s="11">
        <v>0</v>
      </c>
      <c r="L9" s="11"/>
      <c r="M9" s="11"/>
      <c r="N9" s="11"/>
      <c r="O9" s="11">
        <v>10420000</v>
      </c>
      <c r="P9" s="11">
        <v>0</v>
      </c>
      <c r="Q9" s="11"/>
      <c r="R9" s="11"/>
      <c r="S9" s="11">
        <v>5791000</v>
      </c>
      <c r="T9" s="11"/>
      <c r="U9" s="11">
        <v>2487000</v>
      </c>
      <c r="V9" s="11">
        <v>0</v>
      </c>
      <c r="W9" s="11">
        <v>7093000</v>
      </c>
      <c r="X9" s="11">
        <v>0</v>
      </c>
      <c r="Y9" s="11"/>
      <c r="Z9" s="11"/>
      <c r="AA9" s="11">
        <v>7591000</v>
      </c>
      <c r="AB9" s="11">
        <v>4174000</v>
      </c>
      <c r="AC9" s="11">
        <v>330700</v>
      </c>
      <c r="AD9" s="11"/>
      <c r="AE9" s="11"/>
      <c r="AF9" s="11">
        <v>387700</v>
      </c>
      <c r="AG9" s="11">
        <v>0</v>
      </c>
      <c r="AH9" s="11"/>
      <c r="AI9" s="11"/>
      <c r="AJ9" s="11">
        <v>0</v>
      </c>
      <c r="AK9" s="11"/>
      <c r="AL9" s="11"/>
      <c r="AM9" s="11"/>
      <c r="AN9" s="11"/>
      <c r="AO9" s="11"/>
      <c r="AP9" s="11"/>
      <c r="AQ9" s="11"/>
      <c r="AR9" s="11"/>
      <c r="AS9" s="11">
        <v>1625978</v>
      </c>
      <c r="AT9" s="11">
        <v>6.13</v>
      </c>
      <c r="AU9" s="11">
        <v>4.2497069167643613E-2</v>
      </c>
      <c r="AV9" s="11">
        <v>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>
        <v>5857.7430000000004</v>
      </c>
      <c r="BH9" s="11">
        <v>22.06929641141565</v>
      </c>
      <c r="BI9" s="11" t="s">
        <v>51</v>
      </c>
      <c r="BJ9" s="11">
        <v>12950.179</v>
      </c>
      <c r="BK9" s="11">
        <v>48.790351323349348</v>
      </c>
      <c r="BL9" s="11" t="s">
        <v>68</v>
      </c>
      <c r="BM9" s="11">
        <v>4911153</v>
      </c>
      <c r="BN9" s="11">
        <v>18.502978242441369</v>
      </c>
      <c r="BO9" s="11" t="s">
        <v>73</v>
      </c>
      <c r="BP9" s="11">
        <v>265425</v>
      </c>
      <c r="BQ9" s="11">
        <v>265425</v>
      </c>
      <c r="BR9" s="11">
        <v>92288.66</v>
      </c>
      <c r="BS9" s="11">
        <v>92288.66</v>
      </c>
      <c r="BT9" s="11">
        <v>19140.12</v>
      </c>
      <c r="BU9" s="11">
        <v>2730.95</v>
      </c>
      <c r="BV9" s="11">
        <v>1050.01</v>
      </c>
      <c r="BW9" s="11">
        <v>4598.75</v>
      </c>
      <c r="BX9" s="11"/>
      <c r="BY9" s="11"/>
      <c r="BZ9" s="11"/>
      <c r="CA9" s="11"/>
      <c r="CB9" s="11">
        <v>34.833846325214807</v>
      </c>
      <c r="CC9" s="11">
        <v>33.800362798143382</v>
      </c>
      <c r="CD9" s="11">
        <v>51.987403650744248</v>
      </c>
      <c r="CE9" s="11">
        <v>37.731069227912123</v>
      </c>
      <c r="CF9" s="11">
        <v>38.006632237020924</v>
      </c>
      <c r="CG9" s="11">
        <v>274038.78000000003</v>
      </c>
      <c r="CH9" s="11">
        <v>0.7958873557968692</v>
      </c>
      <c r="CI9" s="11">
        <v>0.34770145992276541</v>
      </c>
      <c r="CJ9" s="11">
        <v>1.0324527832721111</v>
      </c>
      <c r="CK9" s="11">
        <v>1.380153640388057</v>
      </c>
      <c r="CL9" s="11"/>
      <c r="CM9" s="11"/>
      <c r="CN9" s="11"/>
      <c r="CO9" s="11"/>
      <c r="CP9" s="11"/>
      <c r="CQ9" s="11"/>
      <c r="CR9" s="11"/>
      <c r="CS9" s="11"/>
      <c r="CT9" s="11">
        <v>0.26700000000000002</v>
      </c>
      <c r="CU9" s="11">
        <v>3.7453183520599249</v>
      </c>
      <c r="CV9" s="11">
        <v>0.11799999999999999</v>
      </c>
      <c r="CW9" s="11"/>
      <c r="CX9" s="11">
        <v>6.0999999999999999E-2</v>
      </c>
      <c r="CY9" s="11"/>
      <c r="CZ9" s="11">
        <v>2.7E-2</v>
      </c>
      <c r="DA9" s="11">
        <v>0.105</v>
      </c>
      <c r="DB9" s="11">
        <v>0.48700000000000021</v>
      </c>
      <c r="DC9" s="11">
        <v>0.87800000000000078</v>
      </c>
      <c r="DD9" s="11">
        <v>0.89999999999999947</v>
      </c>
      <c r="DE9" s="11">
        <v>1.025056947608199</v>
      </c>
      <c r="DF9" s="11">
        <v>3.9157919113066882E-2</v>
      </c>
      <c r="DG9" s="11">
        <v>1.144615322595836</v>
      </c>
      <c r="DH9" s="11">
        <v>1.157772733058291</v>
      </c>
      <c r="DI9" s="11">
        <v>92.514813523875873</v>
      </c>
      <c r="DJ9" s="11">
        <v>91.463436737539155</v>
      </c>
      <c r="DK9" s="11">
        <v>2.4802997117829868</v>
      </c>
      <c r="DL9" s="11">
        <v>2.5088108811982508</v>
      </c>
      <c r="DM9" s="11">
        <v>252774</v>
      </c>
      <c r="DN9" s="11">
        <v>0.95233681831025718</v>
      </c>
      <c r="DO9" s="11">
        <v>252774</v>
      </c>
      <c r="DP9" s="11">
        <v>0.95233681831025718</v>
      </c>
      <c r="DQ9" s="11">
        <v>252774</v>
      </c>
      <c r="DR9" s="11">
        <v>0.95233681831025718</v>
      </c>
      <c r="DS9" s="13">
        <v>4.4052863436123344</v>
      </c>
      <c r="DT9" s="13">
        <v>0.97992377471776126</v>
      </c>
      <c r="DU9" s="13"/>
      <c r="DV9" s="13"/>
      <c r="DW9" s="13"/>
      <c r="DX9" s="13"/>
      <c r="DY9" s="11">
        <v>907.64999999999986</v>
      </c>
      <c r="DZ9" s="11">
        <v>245.85300000000001</v>
      </c>
      <c r="EA9" s="11">
        <v>1</v>
      </c>
      <c r="EB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8CEE-65E0-45EB-9096-854117F6E15F}">
  <dimension ref="A1:EB2"/>
  <sheetViews>
    <sheetView tabSelected="1" workbookViewId="0">
      <selection activeCell="N2" sqref="N2"/>
    </sheetView>
  </sheetViews>
  <sheetFormatPr defaultRowHeight="15" x14ac:dyDescent="0.25"/>
  <cols>
    <col min="10" max="10" width="30.5703125" customWidth="1"/>
  </cols>
  <sheetData>
    <row r="1" spans="1:132" ht="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tr">
        <f>_xlfn.CONCAT("Total Energy Use ",IF('[1]Project Info'!$I$4=[1]Menus!$A$2,"(kWh)","(kBtu)"))</f>
        <v>Total Energy Use (kBtu)</v>
      </c>
      <c r="I1" s="3" t="str">
        <f>_xlfn.CONCAT("Energy Use Intensity ",IF('[1]Project Info'!$I$4=[1]Menus!$A$2,"(kWh/m²)","(kBtu/ft²)"))</f>
        <v>Energy Use Intensity (kBtu/ft²)</v>
      </c>
      <c r="J1" s="3" t="str">
        <f>_xlfn.CONCAT("Electricity ",IF('[1]Project Info'!$I$4=[1]Menus!$A$2,"(kWh)","(kBtu)"))</f>
        <v>Electricity (kBtu)</v>
      </c>
      <c r="K1" s="3" t="str">
        <f>_xlfn.CONCAT("Gas ",IF('[1]Project Info'!$I$4=[1]Menus!$A$2,"(kWh)","(kBtu)"))</f>
        <v>Gas (kBtu)</v>
      </c>
      <c r="L1" s="3" t="str">
        <f>_xlfn.CONCAT("Additional Fuel ",IF('[1]Project Info'!$I$4=[1]Menus!$A$2,"(kWh)","(kBtu)"))</f>
        <v>Additional Fuel (kBtu)</v>
      </c>
      <c r="M1" s="3" t="str">
        <f>_xlfn.CONCAT("District Cooling ",IF('[1]Project Info'!$I$4=[1]Menus!$A$2,"(kWh)","(kBtu)"))</f>
        <v>District Cooling (kBtu)</v>
      </c>
      <c r="N1" s="3" t="str">
        <f>_xlfn.CONCAT("District Heating ",IF('[1]Project Info'!$I$4=[1]Menus!$A$2,"(kWh)","(kBtu)"))</f>
        <v>District Heating (kBtu)</v>
      </c>
      <c r="O1" s="4" t="str">
        <f>_xlfn.CONCAT("Heating - Electricity Energy Use ",IF('[1]Project Info'!$I$4=[1]Menus!$A$2,"(kWh)","(kBtu)"))</f>
        <v>Heating - Electricity Energy Use (kBtu)</v>
      </c>
      <c r="P1" s="4" t="str">
        <f>_xlfn.CONCAT("Heating - Gas Energy Use ",IF('[1]Project Info'!$I$4=[1]Menus!$A$2,"(kWh)","(kBtu)"))</f>
        <v>Heating - Gas Energy Use (kBtu)</v>
      </c>
      <c r="Q1" s="4" t="str">
        <f>_xlfn.CONCAT("Heating - Additonal Fuel Energy Use ",IF('[1]Project Info'!$I$4=[1]Menus!$A$2,"(kWh)","(kBtu)"))</f>
        <v>Heating - Additonal Fuel Energy Use (kBtu)</v>
      </c>
      <c r="R1" s="4" t="str">
        <f>_xlfn.CONCAT("Heating - District Heating Energy Use ",IF('[1]Project Info'!$I$4=[1]Menus!$A$2,"(kWh)","(kBtu)"))</f>
        <v>Heating - District Heating Energy Use (kBtu)</v>
      </c>
      <c r="S1" s="4" t="str">
        <f>_xlfn.CONCAT("Cooling - Electricity Energy Use ",IF('[1]Project Info'!$I$4=[1]Menus!$A$2,"(kWh)","(kBtu)"))</f>
        <v>Cooling - Electricity Energy Use (kBtu)</v>
      </c>
      <c r="T1" s="4" t="str">
        <f>_xlfn.CONCAT("Cooling - District Energy Use ",IF('[1]Project Info'!$I$4=[1]Menus!$A$2,"(kWh)","(kBtu)"))</f>
        <v>Cooling - District Energy Use (kBtu)</v>
      </c>
      <c r="U1" s="4" t="str">
        <f>_xlfn.CONCAT("Interior Lighting - Electricity Energy Use ",IF('[1]Project Info'!$I$4=[1]Menus!$A$2,"(kWh)","(kBtu)"))</f>
        <v>Interior Lighting - Electricity Energy Use (kBtu)</v>
      </c>
      <c r="V1" s="4" t="str">
        <f>_xlfn.CONCAT("Exterior Lighting - Electricity Energy Use ",IF('[1]Project Info'!$I$4=[1]Menus!$A$2,"(kWh)","(kBtu)"))</f>
        <v>Exterior Lighting - Electricity Energy Use (kBtu)</v>
      </c>
      <c r="W1" s="4" t="str">
        <f>_xlfn.CONCAT("Interior Equipment - Electricity Energy Use ",IF('[1]Project Info'!$I$4=[1]Menus!$A$2,"(kWh)","(kBtu)"))</f>
        <v>Interior Equipment - Electricity Energy Use (kBtu)</v>
      </c>
      <c r="X1" s="4" t="str">
        <f>_xlfn.CONCAT("Interior Equipment - Gas Energy Use ",IF('[1]Project Info'!$I$4=[1]Menus!$A$2,"(kWh)","(kBtu)"))</f>
        <v>Interior Equipment - Gas Energy Use (kBtu)</v>
      </c>
      <c r="Y1" s="4" t="str">
        <f>_xlfn.CONCAT("Interior Equipment - Additional Fuel Energy Use ",IF('[1]Project Info'!$I$4=[1]Menus!$A$2,"(kWh)","(kBtu)"))</f>
        <v>Interior Equipment - Additional Fuel Energy Use (kBtu)</v>
      </c>
      <c r="Z1" s="4" t="str">
        <f>_xlfn.CONCAT("Exterior Equipment - Energy Use ",IF('[1]Project Info'!$I$4=[1]Menus!$A$2,"(kWh)","(kBtu)"))</f>
        <v>Exterior Equipment - Energy Use (kBtu)</v>
      </c>
      <c r="AA1" s="4" t="str">
        <f>_xlfn.CONCAT("Fans - Electricity Energy Use ",IF('[1]Project Info'!$I$4=[1]Menus!$A$2,"(kWh)","(kBtu)"))</f>
        <v>Fans - Electricity Energy Use (kBtu)</v>
      </c>
      <c r="AB1" s="4" t="str">
        <f>_xlfn.CONCAT("Pumps - Electricity Energy Use ",IF('[1]Project Info'!$I$4=[1]Menus!$A$2,"(kWh)","(kBtu)"))</f>
        <v>Pumps - Electricity Energy Use (kBtu)</v>
      </c>
      <c r="AC1" s="4" t="str">
        <f>_xlfn.CONCAT("Heat Rejection - Electricity Energy Use ",IF('[1]Project Info'!$I$4=[1]Menus!$A$2,"(kWh)","(kBtu)"))</f>
        <v>Heat Rejection - Electricity Energy Use (kBtu)</v>
      </c>
      <c r="AD1" s="4" t="str">
        <f>_xlfn.CONCAT("Humidification - Electricity Energy Use ",IF('[1]Project Info'!$I$4=[1]Menus!$A$2,"(kWh)","(kBtu)"))</f>
        <v>Humidification - Electricity Energy Use (kBtu)</v>
      </c>
      <c r="AE1" s="4" t="str">
        <f>_xlfn.CONCAT("Heat Recovery - Electricity Energy Use ",IF('[1]Project Info'!$I$4=[1]Menus!$A$2,"(kWh)","(kBtu)"))</f>
        <v>Heat Recovery - Electricity Energy Use (kBtu)</v>
      </c>
      <c r="AF1" s="4" t="str">
        <f>_xlfn.CONCAT("Water Systems - Electricity Energy Use ",IF('[1]Project Info'!$I$4=[1]Menus!$A$2,"(kWh)","(kBtu)"))</f>
        <v>Water Systems - Electricity Energy Use (kBtu)</v>
      </c>
      <c r="AG1" s="4" t="str">
        <f>_xlfn.CONCAT("Water Systems - Gas Energy Use ",IF('[1]Project Info'!$I$4=[1]Menus!$A$2,"(kWh)","(kBtu)"))</f>
        <v>Water Systems - Gas Energy Use (kBtu)</v>
      </c>
      <c r="AH1" s="4" t="str">
        <f>_xlfn.CONCAT("Water Systems - Additional Fuel Energy Use ",IF('[1]Project Info'!$I$4=[1]Menus!$A$2,"(kWh)","(kBtu)"))</f>
        <v>Water Systems - Additional Fuel Energy Use (kBtu)</v>
      </c>
      <c r="AI1" s="4" t="str">
        <f>_xlfn.CONCAT("Water Systems - District Heating Energy Use ",IF('[1]Project Info'!$I$4=[1]Menus!$A$2,"(kWh)","(kBtu)"))</f>
        <v>Water Systems - District Heating Energy Use (kBtu)</v>
      </c>
      <c r="AJ1" s="4" t="str">
        <f>_xlfn.CONCAT("Refrigeration - Electricity Energy Use ",IF('[1]Project Info'!$I$4=[1]Menus!$A$2,"(kWh)","(kBtu)"))</f>
        <v>Refrigeration - Electricity Energy Use (kBtu)</v>
      </c>
      <c r="AK1" s="4" t="str">
        <f>_xlfn.CONCAT("Generators  Electricity Energy Use ",IF('[1]Project Info'!$I$4=[1]Menus!$A$2,"(kWh)","(kBtu)"))</f>
        <v>Generators  Electricity Energy Use (kBtu)</v>
      </c>
      <c r="AL1" s="4" t="str">
        <f>_xlfn.CONCAT("Misc 1 -  Electricity Energy Use ",IF('[1]Project Info'!$I$4=[1]Menus!$A$2,"(kWh)","(kBtu)"))</f>
        <v>Misc 1 -  Electricity Energy Use (kBtu)</v>
      </c>
      <c r="AM1" s="4" t="str">
        <f>_xlfn.CONCAT("Misc 2 -  Electricity Energy Use ",IF('[1]Project Info'!$I$4=[1]Menus!$A$2,"(kWh)","(kBtu)"))</f>
        <v>Misc 2 -  Electricity Energy Use (kBtu)</v>
      </c>
      <c r="AN1" s="2" t="str">
        <f>_xlfn.CONCAT("Total Water Use ",IF('[1]Project Info'!$I$4=[1]Menus!$A$2,"(m3)","(kGal)"))</f>
        <v>Total Water Use (kGal)</v>
      </c>
      <c r="AO1" s="2" t="str">
        <f>_xlfn.CONCAT("Water Use Intensity ",IF('[1]Project Info'!$I$4=[1]Menus!$A$2,"(m³/m²)","(kGal/ft²)"))</f>
        <v>Water Use Intensity (kGal/ft²)</v>
      </c>
      <c r="AP1" s="2" t="str">
        <f>_xlfn.CONCAT("Heat Rejection - Water Use ",IF('[1]Project Info'!$I$4=[1]Menus!$A$2,"(m3)","(kGal)"))</f>
        <v>Heat Rejection - Water Use (kGal)</v>
      </c>
      <c r="AQ1" s="2" t="str">
        <f>_xlfn.CONCAT("Humidificatopn - Water Use ",IF('[1]Project Info'!$I$4=[1]Menus!$A$2,"(m3)","(kGal)"))</f>
        <v>Humidificatopn - Water Use (kGal)</v>
      </c>
      <c r="AR1" s="2" t="str">
        <f>_xlfn.CONCAT("Water System - Water Use ",IF('[1]Project Info'!$I$4=[1]Menus!$A$2,"(m3)","(kGal)"))</f>
        <v>Water System - Water Use (kGal)</v>
      </c>
      <c r="AS1" s="5" t="s">
        <v>7</v>
      </c>
      <c r="AT1" s="5" t="str">
        <f>_xlfn.CONCAT("Energy Cost Intensity (",IF('[1]Project Info'!$I$4=[1]Menus!$A$2,[1]Menus!$E$10,[1]Menus!$E$11),")")</f>
        <v>Energy Cost Intensity ($/ft²)</v>
      </c>
      <c r="AU1" s="5" t="str">
        <f>_xlfn.CONCAT("Electricity Virtual Rate (",IF('[1]Project Info'!$I$4=[1]Menus!$A$2,[1]Menus!$E$14,[1]Menus!$E$15),")")</f>
        <v>Electricity Virtual Rate ($/kBtu)</v>
      </c>
      <c r="AV1" s="5" t="str">
        <f>_xlfn.CONCAT("Gas Virtual Rate (",IF('[1]Project Info'!$I$4=[1]Menus!$A$2,[1]Menus!$E$14,[1]Menus!$E$15),")")</f>
        <v>Gas Virtual Rate ($/kBtu)</v>
      </c>
      <c r="AW1" s="5" t="str">
        <f>_xlfn.CONCAT("Additional Fuel Virtual Rate (",IF('[1]Project Info'!$I$4=[1]Menus!$A$2,[1]Menus!$E$14,[1]Menus!$E$15),")")</f>
        <v>Additional Fuel Virtual Rate ($/kBtu)</v>
      </c>
      <c r="AX1" s="5" t="str">
        <f>_xlfn.CONCAT("District Cooling Virtual Rate (",IF('[1]Project Info'!$I$4=[1]Menus!$A$2,[1]Menus!$E$14,[1]Menus!$E$15),")")</f>
        <v>District Cooling Virtual Rate ($/kBtu)</v>
      </c>
      <c r="AY1" s="5" t="str">
        <f>_xlfn.CONCAT("District Heating Virtual Rate (",IF('[1]Project Info'!$I$4=[1]Menus!$A$2,[1]Menus!$E$14,[1]Menus!$E$15),")")</f>
        <v>District Heating Virtual Rate ($/kBtu)</v>
      </c>
      <c r="AZ1" s="6" t="str">
        <f>_xlfn.CONCAT("Total Carbon Emissions (",IF('[1]Project Info'!$I$4=[1]Menus!$A$2,[1]Menus!$G$6,[1]Menus!$G$7),")")</f>
        <v>Total Carbon Emissions (kg CO2e)</v>
      </c>
      <c r="BA1" s="6" t="str">
        <f>_xlfn.CONCAT("Carbon Emission Intensity (",IF('[1]Project Info'!$I$4=[1]Menus!$A$2,[1]Menus!$G$10,[1]Menus!$G$11),")")</f>
        <v>Carbon Emission Intensity (kg CO2e/ft²)</v>
      </c>
      <c r="BB1" s="6" t="str">
        <f>_xlfn.CONCAT("Electricity Virtual Rate (",IF('[1]Project Info'!$I$4=[1]Menus!$A$2,[1]Menus!$G$14,[1]Menus!$G$15),")")</f>
        <v>Electricity Virtual Rate (kg CO2e/kBtu)</v>
      </c>
      <c r="BC1" s="6" t="str">
        <f>_xlfn.CONCAT("Gas Virtual Rate (",IF('[1]Project Info'!$I$4=[1]Menus!$A$2,[1]Menus!$G$14,[1]Menus!$G$15),")")</f>
        <v>Gas Virtual Rate (kg CO2e/kBtu)</v>
      </c>
      <c r="BD1" s="6" t="str">
        <f>_xlfn.CONCAT("Additional Fuel Virtual Rate (",IF('[1]Project Info'!$I$4=[1]Menus!$A$2,[1]Menus!$G$14,[1]Menus!$G$15),")")</f>
        <v>Additional Fuel Virtual Rate (kg CO2e/kBtu)</v>
      </c>
      <c r="BE1" s="6" t="str">
        <f>_xlfn.CONCAT("District Cooling Virtual Rate (",IF('[1]Project Info'!$I$4=[1]Menus!$A$2,[1]Menus!$G$14,[1]Menus!$G$15),")")</f>
        <v>District Cooling Virtual Rate (kg CO2e/kBtu)</v>
      </c>
      <c r="BF1" s="6" t="str">
        <f>_xlfn.CONCAT("District Heating Virtual Rate (",IF('[1]Project Info'!$I$4=[1]Menus!$A$2,[1]Menus!$G$14,[1]Menus!$G$15),")")</f>
        <v>District Heating Virtual Rate (kg CO2e/kBtu)</v>
      </c>
      <c r="BG1" s="7" t="str">
        <f>_xlfn.CONCAT("Peak Heating ",IF('[1]Project Info'!$I$4=[1]Menus!$A$2,"(kW)","(kBtuh)"))</f>
        <v>Peak Heating (kBtuh)</v>
      </c>
      <c r="BH1" s="7" t="str">
        <f>_xlfn.CONCAT("Peak Heating ",IF('[1]Project Info'!$I$4=[1]Menus!$A$2,"(W/m²)","(Btuh/ft²)"))</f>
        <v>Peak Heating (Btuh/ft²)</v>
      </c>
      <c r="BI1" s="7" t="s">
        <v>8</v>
      </c>
      <c r="BJ1" s="8" t="str">
        <f>_xlfn.CONCAT("Peak Cooling ",IF('[1]Project Info'!$I$4=[1]Menus!$A$2,"(kW)","(kBtuh)"))</f>
        <v>Peak Cooling (kBtuh)</v>
      </c>
      <c r="BK1" s="8" t="str">
        <f>_xlfn.CONCAT("Peak Cooling ",IF('[1]Project Info'!$I$4=[1]Menus!$A$2,"(W/m²)","(Btuh/ft²)"))</f>
        <v>Peak Cooling (Btuh/ft²)</v>
      </c>
      <c r="BL1" s="8" t="s">
        <v>9</v>
      </c>
      <c r="BM1" s="9" t="s">
        <v>10</v>
      </c>
      <c r="BN1" s="9" t="str">
        <f>_xlfn.CONCAT("Peak Electrical Load Intensity ",IF('[1]Project Info'!$I$4=[1]Menus!$A$2,"(W/m²)","(W/ft²)"))</f>
        <v>Peak Electrical Load Intensity (W/ft²)</v>
      </c>
      <c r="BO1" s="9" t="s">
        <v>11</v>
      </c>
      <c r="BP1" s="1" t="str">
        <f>_xlfn.CONCAT("Conditioned Floor Area ",IF('[1]Project Info'!$I$4=[1]Menus!$A$2,"(m²)","(ft²)"))</f>
        <v>Conditioned Floor Area (ft²)</v>
      </c>
      <c r="BQ1" s="1" t="str">
        <f>_xlfn.CONCAT("Total Floor Area ",IF('[1]Project Info'!$I$4=[1]Menus!$A$2,"(m²)","(ft²)"))</f>
        <v>Total Floor Area (ft²)</v>
      </c>
      <c r="BR1" s="1" t="str">
        <f>_xlfn.CONCAT("Gross Wall Area ",IF('[1]Project Info'!$I$4=[1]Menus!$A$2,"(m²)","(ft²)"))</f>
        <v>Gross Wall Area (ft²)</v>
      </c>
      <c r="BS1" s="1" t="str">
        <f>_xlfn.CONCAT("Above Ground Gross Wall Area ",IF('[1]Project Info'!$I$4=[1]Menus!$A$2,"(m²)","(ft²)"))</f>
        <v>Above Ground Gross Wall Area (ft²)</v>
      </c>
      <c r="BT1" s="1" t="str">
        <f>_xlfn.CONCAT("Above Ground North Wall Area ",IF('[1]Project Info'!$I$4=[1]Menus!$A$2,"(m²)","(ft²)"))</f>
        <v>Above Ground North Wall Area (ft²)</v>
      </c>
      <c r="BU1" s="1" t="str">
        <f>_xlfn.CONCAT("Above Ground East Wall Area ",IF('[1]Project Info'!$I$4=[1]Menus!$A$2,"(m²)","(ft²)"))</f>
        <v>Above Ground East Wall Area (ft²)</v>
      </c>
      <c r="BV1" s="1" t="str">
        <f>_xlfn.CONCAT("Above Ground South Wall Area ",IF('[1]Project Info'!$I$4=[1]Menus!$A$2,"(m²)","(ft²)"))</f>
        <v>Above Ground South Wall Area (ft²)</v>
      </c>
      <c r="BW1" s="1" t="str">
        <f>_xlfn.CONCAT("Above Ground East Wall Area ",IF('[1]Project Info'!$I$4=[1]Menus!$A$2,"(m²)","(ft²)"))</f>
        <v>Above Ground East Wall Area (ft²)</v>
      </c>
      <c r="BX1" s="10" t="s">
        <v>12</v>
      </c>
      <c r="BY1" s="10" t="s">
        <v>13</v>
      </c>
      <c r="BZ1" s="10" t="s">
        <v>14</v>
      </c>
      <c r="CA1" s="10" t="s">
        <v>15</v>
      </c>
      <c r="CB1" s="10" t="s">
        <v>16</v>
      </c>
      <c r="CC1" s="10" t="s">
        <v>17</v>
      </c>
      <c r="CD1" s="10" t="s">
        <v>18</v>
      </c>
      <c r="CE1" s="10" t="s">
        <v>19</v>
      </c>
      <c r="CF1" s="10" t="s">
        <v>20</v>
      </c>
      <c r="CG1" s="1" t="str">
        <f>_xlfn.CONCAT("Gross Roof Area ",IF('[1]Project Info'!$I$4=[1]Menus!$A$2,"(m²)","(ft²)"))</f>
        <v>Gross Roof Area (ft²)</v>
      </c>
      <c r="CH1" s="10" t="s">
        <v>21</v>
      </c>
      <c r="CI1" s="1" t="s">
        <v>22</v>
      </c>
      <c r="CJ1" s="1" t="s">
        <v>23</v>
      </c>
      <c r="CK1" s="1" t="s">
        <v>24</v>
      </c>
      <c r="CL1" s="10" t="s">
        <v>25</v>
      </c>
      <c r="CM1" s="10" t="s">
        <v>26</v>
      </c>
      <c r="CN1" s="10" t="s">
        <v>27</v>
      </c>
      <c r="CO1" s="10" t="s">
        <v>28</v>
      </c>
      <c r="CP1" s="10" t="s">
        <v>29</v>
      </c>
      <c r="CQ1" s="10" t="s">
        <v>30</v>
      </c>
      <c r="CR1" s="10" t="s">
        <v>31</v>
      </c>
      <c r="CS1" s="10" t="s">
        <v>32</v>
      </c>
      <c r="CT1" s="10" t="str">
        <f>_xlfn.CONCAT("Vertical Weighted U-Value ",IF('[1]Project Info'!$D$7=[1]Menus!$C$2,"(W/m²·K)","(Btu/h·ft²·F)"))</f>
        <v>Vertical Weighted U-Value (Btu/h·ft²·F)</v>
      </c>
      <c r="CU1" s="10" t="str">
        <f>_xlfn.CONCAT("Vertical Weighted R-Value ",IF('[1]Project Info'!$D$7=[1]Menus!$C$2,"(m²·K/W)","(ft²·h·F/Btu )"))</f>
        <v>Vertical Weighted R-Value (ft²·h·F/Btu )</v>
      </c>
      <c r="CV1" s="10" t="str">
        <f>_xlfn.CONCAT("Wall U-Value ",IF('[1]Project Info'!$D$7=[1]Menus!$C$2,"(W/m²·K)","(Btu/h·ft²·F)"))</f>
        <v>Wall U-Value (Btu/h·ft²·F)</v>
      </c>
      <c r="CW1" s="10" t="str">
        <f>_xlfn.CONCAT("Wall 2 U-Value ",IF('[1]Project Info'!$D$7=[1]Menus!$C$2,"(W/m²·K)","(Btu/h·ft²·F)"))</f>
        <v>Wall 2 U-Value (Btu/h·ft²·F)</v>
      </c>
      <c r="CX1" s="10" t="str">
        <f>_xlfn.CONCAT("Roof U-Value ",IF('[1]Project Info'!$D$7=[1]Menus!$C$2,"(W/m²·K)","(Btu/h·ft²·F)"))</f>
        <v>Roof U-Value (Btu/h·ft²·F)</v>
      </c>
      <c r="CY1" s="10" t="str">
        <f>_xlfn.CONCAT("Exposed Floor U-Value ",IF('[1]Project Info'!$D$7=[1]Menus!$C$2,"(W/m²·K)","(Btu/h·ft²·F)"))</f>
        <v>Exposed Floor U-Value (Btu/h·ft²·F)</v>
      </c>
      <c r="CZ1" s="10" t="str">
        <f>_xlfn.CONCAT("Slab on Grade U-Value ",IF('[1]Project Info'!$D$7=[1]Menus!$C$2,"(W/m²·K)","(Btu/h·ft²·F)"))</f>
        <v>Slab on Grade U-Value (Btu/h·ft²·F)</v>
      </c>
      <c r="DA1" s="10" t="str">
        <f>_xlfn.CONCAT("Assembly U-Value ",IF('[1]Project Info'!$D$7=[1]Menus!$C$2,"(W/m²·K)","(Btu/h·ft²·F)"))</f>
        <v>Assembly U-Value (Btu/h·ft²·F)</v>
      </c>
      <c r="DB1" s="10" t="str">
        <f>_xlfn.CONCAT("Glass U-Value ",IF('[1]Project Info'!$D$7=[1]Menus!$C$2,"(W/m²·K)","(Btu/h·ft²·F)"))</f>
        <v>Glass U-Value (Btu/h·ft²·F)</v>
      </c>
      <c r="DC1" s="10" t="s">
        <v>33</v>
      </c>
      <c r="DD1" s="10" t="s">
        <v>34</v>
      </c>
      <c r="DE1" s="10" t="s">
        <v>35</v>
      </c>
      <c r="DF1" s="10" t="str">
        <f>_xlfn.CONCAT("Infiltration Rate ",IF('[1]Project Info'!$D$7=[1]Menus!$C$2,"(m³/s/m² façade)","(CFM/ft² facade)"))</f>
        <v>Infiltration Rate (CFM/ft² facade)</v>
      </c>
      <c r="DG1" s="10" t="str">
        <f>_xlfn.CONCAT("Lighting Power Density ",IF('[1]Project Info'!$D$7=[1]Menus!$C$2,"(W/m²)","(W/ft²)"))</f>
        <v>Lighting Power Density (W/ft²)</v>
      </c>
      <c r="DH1" s="10" t="str">
        <f>_xlfn.CONCAT("Conditioned Lighting Power Density ",IF('[1]Project Info'!$D$7=[1]Menus!$C$2,"(W/m²)","(W/ft²)"))</f>
        <v>Conditioned Lighting Power Density (W/ft²)</v>
      </c>
      <c r="DI1" s="10" t="str">
        <f>_xlfn.CONCAT("Occupant Density ",IF('[1]Project Info'!$D$7=[1]Menus!$C$2,"(m/person²)","(ft²/person)"))</f>
        <v>Occupant Density (ft²/person)</v>
      </c>
      <c r="DJ1" s="10" t="str">
        <f>_xlfn.CONCAT("Conditioned Occupant Density ",IF('[1]Project Info'!$D$7=[1]Menus!$C$2,"(m/person²)","(ft²/person)"))</f>
        <v>Conditioned Occupant Density (ft²/person)</v>
      </c>
      <c r="DK1" s="10" t="str">
        <f>_xlfn.CONCAT("Equipment Power Density ",IF('[1]Project Info'!$D$7=[1]Menus!$C$2,"(W/m²)","(W/ft²)"))</f>
        <v>Equipment Power Density (W/ft²)</v>
      </c>
      <c r="DL1" s="10" t="str">
        <f>_xlfn.CONCAT("Conditioned Equipment Power Density ",IF('[1]Project Info'!$D$7=[1]Menus!$C$2,"(W/m²)","(W/ft²)"))</f>
        <v>Conditioned Equipment Power Density (W/ft²)</v>
      </c>
      <c r="DM1" s="10" t="str">
        <f>_xlfn.CONCAT("Total Ventilation Air Flow Rate ",IF('[1]Project Info'!$D$7=[1]Menus!$C$2,"(m²/s)","(CFM)"))</f>
        <v>Total Ventilation Air Flow Rate (CFM)</v>
      </c>
      <c r="DN1" s="10" t="str">
        <f>_xlfn.CONCAT("Ventilation Air Flow Rate per Area ",IF('[1]Project Info'!$D$7=[1]Menus!$C$2,"(m3/s/m²)","(CFM/ft²)"))</f>
        <v>Ventilation Air Flow Rate per Area (CFM/ft²)</v>
      </c>
      <c r="DO1" s="10" t="str">
        <f>_xlfn.CONCAT("Total Heating Airflow Rate ",IF('[1]Project Info'!$D$7=[1]Menus!$C$2,"(m²/s)","(CFM)"))</f>
        <v>Total Heating Airflow Rate (CFM)</v>
      </c>
      <c r="DP1" s="10" t="str">
        <f>_xlfn.CONCAT("Heating Airflow Rate per Area ",IF('[1]Project Info'!$D$7=[1]Menus!$C$2,"(m3/s/m²)","(CFM/ft²)"))</f>
        <v>Heating Airflow Rate per Area (CFM/ft²)</v>
      </c>
      <c r="DQ1" s="10" t="str">
        <f>_xlfn.CONCAT("Total Cooling Airflow Rate ",IF('[1]Project Info'!$D$7=[1]Menus!$C$2,"(m²/s)","(CFM)"))</f>
        <v>Total Cooling Airflow Rate (CFM)</v>
      </c>
      <c r="DR1" s="10" t="str">
        <f>_xlfn.CONCAT("Cooling Airflow Rate per Area ",IF('[1]Project Info'!$D$7=[1]Menus!$C$2,"(m3/s/m²)","(CFM/ft²)"))</f>
        <v>Cooling Airflow Rate per Area (CFM/ft²)</v>
      </c>
      <c r="DS1" s="10" t="s">
        <v>36</v>
      </c>
      <c r="DT1" s="10" t="s">
        <v>37</v>
      </c>
      <c r="DU1" s="10" t="s">
        <v>38</v>
      </c>
      <c r="DV1" s="10" t="s">
        <v>39</v>
      </c>
      <c r="DW1" s="10" t="s">
        <v>40</v>
      </c>
      <c r="DX1" s="10" t="s">
        <v>41</v>
      </c>
      <c r="DY1" s="10" t="s">
        <v>42</v>
      </c>
      <c r="DZ1" s="10" t="s">
        <v>43</v>
      </c>
      <c r="EA1" s="10" t="s">
        <v>44</v>
      </c>
      <c r="EB1" s="10" t="s">
        <v>45</v>
      </c>
    </row>
    <row r="2" spans="1:132" ht="15.75" x14ac:dyDescent="0.3">
      <c r="A2" s="13" t="s">
        <v>81</v>
      </c>
      <c r="B2" s="13" t="s">
        <v>82</v>
      </c>
      <c r="C2" s="13" t="s">
        <v>83</v>
      </c>
      <c r="D2" s="13" t="s">
        <v>49</v>
      </c>
      <c r="E2" s="13" t="s">
        <v>50</v>
      </c>
      <c r="F2" s="14">
        <v>1076</v>
      </c>
      <c r="G2" s="14">
        <v>659</v>
      </c>
      <c r="H2" s="14">
        <v>25583100</v>
      </c>
      <c r="I2" s="15">
        <v>96.1</v>
      </c>
      <c r="J2" s="14">
        <v>25583000</v>
      </c>
      <c r="K2" s="14">
        <v>0</v>
      </c>
      <c r="L2" s="14"/>
      <c r="M2" s="14"/>
      <c r="N2" s="14"/>
      <c r="O2" s="14">
        <v>1397000</v>
      </c>
      <c r="P2" s="14">
        <v>0</v>
      </c>
      <c r="Q2" s="14"/>
      <c r="R2" s="14"/>
      <c r="S2" s="14">
        <v>3678000</v>
      </c>
      <c r="T2" s="14"/>
      <c r="U2" s="14">
        <v>1758000</v>
      </c>
      <c r="V2" s="14">
        <v>0</v>
      </c>
      <c r="W2" s="14">
        <v>7104000</v>
      </c>
      <c r="X2" s="14">
        <v>0</v>
      </c>
      <c r="Y2" s="14"/>
      <c r="Z2" s="14"/>
      <c r="AA2" s="14">
        <v>10080000</v>
      </c>
      <c r="AB2" s="14">
        <v>1066000</v>
      </c>
      <c r="AC2" s="14">
        <v>0</v>
      </c>
      <c r="AD2" s="14"/>
      <c r="AE2" s="14"/>
      <c r="AF2" s="14">
        <v>495500</v>
      </c>
      <c r="AG2" s="14">
        <v>0</v>
      </c>
      <c r="AH2" s="14"/>
      <c r="AI2" s="14"/>
      <c r="AJ2" s="14">
        <v>0</v>
      </c>
      <c r="AK2" s="14"/>
      <c r="AL2" s="14"/>
      <c r="AM2" s="14"/>
      <c r="AN2" s="14"/>
      <c r="AO2" s="14"/>
      <c r="AP2" s="14"/>
      <c r="AQ2" s="14"/>
      <c r="AR2" s="14"/>
      <c r="AS2" s="12">
        <v>1086897</v>
      </c>
      <c r="AT2" s="16">
        <v>4.08</v>
      </c>
      <c r="AU2" s="16">
        <v>4.2497069167643613E-2</v>
      </c>
      <c r="AV2" s="16">
        <v>0</v>
      </c>
      <c r="AW2" s="16"/>
      <c r="AX2" s="16"/>
      <c r="AY2" s="16"/>
      <c r="AZ2" s="14"/>
      <c r="BA2" s="17"/>
      <c r="BB2" s="18"/>
      <c r="BC2" s="18"/>
      <c r="BD2" s="18"/>
      <c r="BE2" s="18"/>
      <c r="BF2" s="18"/>
      <c r="BG2" s="15">
        <v>4816.2269999999999</v>
      </c>
      <c r="BH2" s="15">
        <v>18.09632003727306</v>
      </c>
      <c r="BI2" s="19" t="s">
        <v>84</v>
      </c>
      <c r="BJ2" s="20">
        <v>12468.677</v>
      </c>
      <c r="BK2" s="15">
        <v>46.849363502464833</v>
      </c>
      <c r="BL2" s="19" t="s">
        <v>68</v>
      </c>
      <c r="BM2" s="14">
        <v>3048247</v>
      </c>
      <c r="BN2" s="21">
        <v>11.453374864734879</v>
      </c>
      <c r="BO2" s="21" t="s">
        <v>85</v>
      </c>
      <c r="BP2" s="14">
        <v>265425</v>
      </c>
      <c r="BQ2" s="14">
        <v>265425</v>
      </c>
      <c r="BR2" s="14">
        <v>92069.74</v>
      </c>
      <c r="BS2" s="14">
        <v>92069.74</v>
      </c>
      <c r="BT2" s="14">
        <v>7945.14</v>
      </c>
      <c r="BU2" s="14">
        <v>8754.56</v>
      </c>
      <c r="BV2" s="14">
        <v>2730.95</v>
      </c>
      <c r="BW2" s="14">
        <v>1050.01</v>
      </c>
      <c r="BX2" s="13"/>
      <c r="BY2" s="13"/>
      <c r="BZ2" s="13"/>
      <c r="CA2" s="13"/>
      <c r="CB2" s="13">
        <v>34.532333859094209</v>
      </c>
      <c r="CC2" s="13">
        <v>36.193068970464957</v>
      </c>
      <c r="CD2" s="13">
        <v>37.047664302946117</v>
      </c>
      <c r="CE2" s="13">
        <v>51.987403650744248</v>
      </c>
      <c r="CF2" s="13">
        <v>37.731069227912123</v>
      </c>
      <c r="CG2" s="14">
        <v>274024.40999999997</v>
      </c>
      <c r="CH2" s="14">
        <v>0.7959290925943423</v>
      </c>
      <c r="CI2" s="17">
        <v>0.34593956655043889</v>
      </c>
      <c r="CJ2" s="17">
        <v>1.029609572261633</v>
      </c>
      <c r="CK2" s="17">
        <v>1.375548349765541</v>
      </c>
      <c r="CL2" s="13"/>
      <c r="CM2" s="13"/>
      <c r="CN2" s="13"/>
      <c r="CO2" s="13"/>
      <c r="CP2" s="13"/>
      <c r="CQ2" s="13"/>
      <c r="CR2" s="13"/>
      <c r="CS2" s="13"/>
      <c r="CT2" s="13">
        <v>0.23599999999999999</v>
      </c>
      <c r="CU2" s="21">
        <v>4.2372881355932206</v>
      </c>
      <c r="CV2" s="13">
        <v>5.3999999999999999E-2</v>
      </c>
      <c r="CW2" s="13"/>
      <c r="CX2" s="13">
        <v>4.2000000000000003E-2</v>
      </c>
      <c r="CY2" s="13"/>
      <c r="CZ2" s="13">
        <v>2.7E-2</v>
      </c>
      <c r="DA2" s="13">
        <v>8.5999999999999993E-2</v>
      </c>
      <c r="DB2" s="13">
        <v>0.52625221849934412</v>
      </c>
      <c r="DC2" s="13">
        <v>0.40782708770074011</v>
      </c>
      <c r="DD2" s="13">
        <v>0.51715171620885603</v>
      </c>
      <c r="DE2" s="21">
        <v>1.2680661285263559</v>
      </c>
      <c r="DF2" s="13">
        <v>3.9059955891407233E-2</v>
      </c>
      <c r="DG2" s="21">
        <v>0.80729740290970242</v>
      </c>
      <c r="DH2" s="21">
        <v>0.82042856330066316</v>
      </c>
      <c r="DI2" s="21">
        <v>92.862526168876443</v>
      </c>
      <c r="DJ2" s="21">
        <v>91.376238660153476</v>
      </c>
      <c r="DK2" s="21">
        <v>2.4728121843813851</v>
      </c>
      <c r="DL2" s="21">
        <v>2.5130339084855389</v>
      </c>
      <c r="DM2" s="14">
        <v>344150</v>
      </c>
      <c r="DN2" s="13">
        <v>1.29309697006132</v>
      </c>
      <c r="DO2" s="13">
        <v>344150</v>
      </c>
      <c r="DP2" s="13">
        <v>1.29309697006132</v>
      </c>
      <c r="DQ2" s="13">
        <v>344150</v>
      </c>
      <c r="DR2" s="13">
        <v>1.29309697006132</v>
      </c>
      <c r="DS2" s="13">
        <v>2.795300181129738</v>
      </c>
      <c r="DT2" s="13">
        <v>0.97743084779472267</v>
      </c>
      <c r="DU2" s="13"/>
      <c r="DV2" s="13"/>
      <c r="DW2" s="13"/>
      <c r="DX2" s="13"/>
      <c r="DY2" s="13">
        <v>1090.289</v>
      </c>
      <c r="DZ2" s="13">
        <v>504.64800000000002</v>
      </c>
      <c r="EA2" s="13">
        <v>1</v>
      </c>
      <c r="EB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Khelan Mehta</dc:creator>
  <cp:lastModifiedBy>Khelan Mehta</cp:lastModifiedBy>
  <dcterms:created xsi:type="dcterms:W3CDTF">2026-05-19T04:37:08Z</dcterms:created>
  <dcterms:modified xsi:type="dcterms:W3CDTF">2026-05-19T04:37:59Z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f886a-a43c-4363-a010-0f2905eaeb69_Enabled">
    <vt:lpwstr>true</vt:lpwstr>
  </property>
  <property fmtid="{D5CDD505-2E9C-101B-9397-08002B2CF9AE}" pid="3" name="MSIP_Label_7d5f886a-a43c-4363-a010-0f2905eaeb69_SetDate">
    <vt:lpwstr>2026-05-19T04:37:38Z</vt:lpwstr>
  </property>
  <property fmtid="{D5CDD505-2E9C-101B-9397-08002B2CF9AE}" pid="4" name="MSIP_Label_7d5f886a-a43c-4363-a010-0f2905eaeb69_Method">
    <vt:lpwstr>Privileged</vt:lpwstr>
  </property>
  <property fmtid="{D5CDD505-2E9C-101B-9397-08002B2CF9AE}" pid="5" name="MSIP_Label_7d5f886a-a43c-4363-a010-0f2905eaeb69_Name">
    <vt:lpwstr>defa4170-0d19-0005-0003-bc88714345d2</vt:lpwstr>
  </property>
  <property fmtid="{D5CDD505-2E9C-101B-9397-08002B2CF9AE}" pid="6" name="MSIP_Label_7d5f886a-a43c-4363-a010-0f2905eaeb69_SiteId">
    <vt:lpwstr>2a628329-47c2-4e25-a873-a847f2961371</vt:lpwstr>
  </property>
  <property fmtid="{D5CDD505-2E9C-101B-9397-08002B2CF9AE}" pid="7" name="MSIP_Label_7d5f886a-a43c-4363-a010-0f2905eaeb69_ActionId">
    <vt:lpwstr>9f2f0c2e-2cd0-4562-91f8-7ba05e493f23</vt:lpwstr>
  </property>
  <property fmtid="{D5CDD505-2E9C-101B-9397-08002B2CF9AE}" pid="8" name="MSIP_Label_7d5f886a-a43c-4363-a010-0f2905eaeb69_ContentBits">
    <vt:lpwstr>0</vt:lpwstr>
  </property>
  <property fmtid="{D5CDD505-2E9C-101B-9397-08002B2CF9AE}" pid="9" name="MSIP_Label_7d5f886a-a43c-4363-a010-0f2905eaeb69_Tag">
    <vt:lpwstr>10, 0, 1, 1</vt:lpwstr>
  </property>
</Properties>
</file>